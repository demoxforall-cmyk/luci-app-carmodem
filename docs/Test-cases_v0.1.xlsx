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 документе" sheetId="1" state="visible" r:id="rId3"/>
    <sheet name="Тест-кейсы (Телеметрия)" sheetId="2" state="visible" r:id="rId4"/>
    <sheet name="Тест-кейсы (Управление)" sheetId="3" state="visible" r:id="rId5"/>
    <sheet name="Тест-кейсы (Сервисы)" sheetId="4" state="visible" r:id="rId6"/>
    <sheet name="Тест-кейсы (Кросс-Приёмка)" sheetId="5" state="visible" r:id="rId7"/>
    <sheet name="Сводк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<sst xmlns="http://schemas.openxmlformats.org/spreadsheetml/2006/main" count="817" uniqueCount="454">
  <si>
    <t xml:space="preserve">Приложение к ТЗ — Реестр тест-кейсов</t>
  </si>
  <si>
    <t xml:space="preserve">Проект</t>
  </si>
  <si>
    <t xml:space="preserve">luci-app-carmodem (LuCI-модуль RM520N для ImmortalWRT)</t>
  </si>
  <si>
    <t xml:space="preserve">Версия приложения</t>
  </si>
  <si>
    <t xml:space="preserve">0.1 (блок: Телеметрия)</t>
  </si>
  <si>
    <t xml:space="preserve">Связано с</t>
  </si>
  <si>
    <t xml:space="preserve">ТЗ v1.1</t>
  </si>
  <si>
    <t xml:space="preserve">Объём этой версии</t>
  </si>
  <si>
    <t xml:space="preserve">Блок A — Телеметрия (Modem Info / Setup antenna): парсеры, источники MM/AT, пороги, N/A, демон</t>
  </si>
  <si>
    <t xml:space="preserve">Способы проверки (легенда)</t>
  </si>
  <si>
    <t xml:space="preserve">Авто: юнит</t>
  </si>
  <si>
    <t xml:space="preserve">Юнит-тест чистой функции-парсера (bats/busted), без устройства</t>
  </si>
  <si>
    <t xml:space="preserve">Авто: mock-AT</t>
  </si>
  <si>
    <t xml:space="preserve">Тест через эмулятор AT-порта (socat-PTY) на реальных фикстурах</t>
  </si>
  <si>
    <t xml:space="preserve">Авто: mmcli</t>
  </si>
  <si>
    <t xml:space="preserve">Интеграционный тест через ModemManager (mmcli/D-Bus)</t>
  </si>
  <si>
    <t xml:space="preserve">Авто: Playwright</t>
  </si>
  <si>
    <t xml:space="preserve">E2E-тест UI в headless-браузере с замоканным ubus</t>
  </si>
  <si>
    <t xml:space="preserve">Smoke (железо)</t>
  </si>
  <si>
    <t xml:space="preserve">Прогон на реальном RM520N-GL по SSH (полу-авто)</t>
  </si>
  <si>
    <t xml:space="preserve">Ручной</t>
  </si>
  <si>
    <t xml:space="preserve">Визуальная/полевая проверка человеком</t>
  </si>
  <si>
    <t xml:space="preserve">Статусы</t>
  </si>
  <si>
    <t xml:space="preserve">Не начат / Пройден / Провален / Заблокирован / N/A</t>
  </si>
  <si>
    <t xml:space="preserve">Источник фикстур</t>
  </si>
  <si>
    <t xml:space="preserve">Реальные ответы RM520N-GL (MegaFon, LTE B7), сняты на Banana Pi R4</t>
  </si>
  <si>
    <t xml:space="preserve">ID</t>
  </si>
  <si>
    <t xml:space="preserve">Группа</t>
  </si>
  <si>
    <t xml:space="preserve">FR/NFR</t>
  </si>
  <si>
    <t xml:space="preserve">Приоритет</t>
  </si>
  <si>
    <t xml:space="preserve">Предусловия</t>
  </si>
  <si>
    <t xml:space="preserve">Шаги</t>
  </si>
  <si>
    <t xml:space="preserve">Ожидаемый результат</t>
  </si>
  <si>
    <t xml:space="preserve">Способ проверки</t>
  </si>
  <si>
    <t xml:space="preserve">Тестовые данные / источник</t>
  </si>
  <si>
    <t xml:space="preserve">Статус</t>
  </si>
  <si>
    <t xml:space="preserve">TC-TEL-001</t>
  </si>
  <si>
    <t xml:space="preserve">Парсеры</t>
  </si>
  <si>
    <t xml:space="preserve">FR-13</t>
  </si>
  <si>
    <t xml:space="preserve">Высокий</t>
  </si>
  <si>
    <t xml:space="preserve">Есть фикстура servingcell (LTE)</t>
  </si>
  <si>
    <t xml:space="preserve">Подать в парсер строку +QENG:"servingcell",...,1A8D147,258,2850,7,...,2364,-91,...</t>
  </si>
  <si>
    <t xml:space="preserve">CellID hex 1A8D147 → dec 27840839; eNB=108753; сектор=71; PCI=258; EARFCN=2850; band=B7</t>
  </si>
  <si>
    <t xml:space="preserve">servingcell_lte.txt</t>
  </si>
  <si>
    <t xml:space="preserve">Не начат</t>
  </si>
  <si>
    <t xml:space="preserve">TC-TEL-002</t>
  </si>
  <si>
    <t xml:space="preserve">Та же фикстура</t>
  </si>
  <si>
    <t xml:space="preserve">Проверить поле TAC</t>
  </si>
  <si>
    <t xml:space="preserve">TAC hex 2364 → dec 9060</t>
  </si>
  <si>
    <t xml:space="preserve">TC-TEL-003</t>
  </si>
  <si>
    <t xml:space="preserve">FR-14</t>
  </si>
  <si>
    <t xml:space="preserve">Проверить индекс ширины канала</t>
  </si>
  <si>
    <t xml:space="preserve">Индекс DL bandwidth 5 → 20 МГц</t>
  </si>
  <si>
    <t xml:space="preserve">TC-TEL-004</t>
  </si>
  <si>
    <t xml:space="preserve">FR-16</t>
  </si>
  <si>
    <t xml:space="preserve">Фикстура QRSRP</t>
  </si>
  <si>
    <t xml:space="preserve">Подать +QRSRP: -95,-91,-32768,-32768,LTE</t>
  </si>
  <si>
    <t xml:space="preserve">Rx0=-95, Rx1=-91, Rx2=N/A, Rx3=N/A (значение -32768 → N/A)</t>
  </si>
  <si>
    <t xml:space="preserve">qrsrp.txt</t>
  </si>
  <si>
    <t xml:space="preserve">TC-TEL-005</t>
  </si>
  <si>
    <t xml:space="preserve">Фикстура QSINR</t>
  </si>
  <si>
    <t xml:space="preserve">Подать +QSINR: 19,23,-32768,-32768,LTE</t>
  </si>
  <si>
    <t xml:space="preserve">Rx0=19, Rx1=23, Rx2/Rx3=N/A</t>
  </si>
  <si>
    <t xml:space="preserve">qsinr.txt</t>
  </si>
  <si>
    <t xml:space="preserve">TC-TEL-006</t>
  </si>
  <si>
    <t xml:space="preserve">FR-18</t>
  </si>
  <si>
    <t xml:space="preserve">Фикстура QCAINFO (PCC)</t>
  </si>
  <si>
    <t xml:space="preserve">Подать +QCAINFO:"PCC",2850,100,"LTE BAND 7",1,258,-91,-10,-61,20</t>
  </si>
  <si>
    <t xml:space="preserve">Компонент PCC: band=B7, EARFCN=2850, PCI=258, RSRP=-91, состояние=activated</t>
  </si>
  <si>
    <t xml:space="preserve">qcainfo_pcc.txt</t>
  </si>
  <si>
    <t xml:space="preserve">TC-TEL-007</t>
  </si>
  <si>
    <t xml:space="preserve">Средний</t>
  </si>
  <si>
    <t xml:space="preserve">Нужна фикстура с активной CA (SCC)</t>
  </si>
  <si>
    <t xml:space="preserve">Подать многокомпонентный QCAINFO (PCC+SCC)</t>
  </si>
  <si>
    <t xml:space="preserve">Каждый SCC разобран отдельно; число компонентов корректно</t>
  </si>
  <si>
    <t xml:space="preserve">ОЖИДАЕТ ФИКСТУРУ (CA/5G)</t>
  </si>
  <si>
    <t xml:space="preserve">Заблокирован</t>
  </si>
  <si>
    <t xml:space="preserve">TC-TEL-008</t>
  </si>
  <si>
    <t xml:space="preserve">FR-12</t>
  </si>
  <si>
    <t xml:space="preserve">Фикстура QTEMP</t>
  </si>
  <si>
    <t xml:space="preserve">Подать многострочный +QTEMP</t>
  </si>
  <si>
    <t xml:space="preserve">Извлечены modem-ambient-usr и PA-сенсоры; нулевые (0) отфильтрованы/помечены</t>
  </si>
  <si>
    <t xml:space="preserve">QTEMP (snapshot)</t>
  </si>
  <si>
    <t xml:space="preserve">TC-TEL-009</t>
  </si>
  <si>
    <t xml:space="preserve">NFR-7</t>
  </si>
  <si>
    <t xml:space="preserve">Любой парсер</t>
  </si>
  <si>
    <t xml:space="preserve">Подать битую строку / мусор / обрыв</t>
  </si>
  <si>
    <t xml:space="preserve">Парсер возвращает ошибку, не падает; поле помечается N/A</t>
  </si>
  <si>
    <t xml:space="preserve">synthetic</t>
  </si>
  <si>
    <t xml:space="preserve">TC-TEL-010</t>
  </si>
  <si>
    <t xml:space="preserve">FR-21</t>
  </si>
  <si>
    <t xml:space="preserve">Фикстура neighbourcell (резервный путь)</t>
  </si>
  <si>
    <t xml:space="preserve">Подать +QENG:"neighbourcell intra/inter/WCDMA"</t>
  </si>
  <si>
    <t xml:space="preserve">Разобраны LTE intra/inter и WCDMA соседи (резерв к GetCellInfo)</t>
  </si>
  <si>
    <t xml:space="preserve">neighbourcell (snapshot)</t>
  </si>
  <si>
    <t xml:space="preserve">TC-TEL-020</t>
  </si>
  <si>
    <t xml:space="preserve">Источники MM</t>
  </si>
  <si>
    <t xml:space="preserve">FR-15</t>
  </si>
  <si>
    <t xml:space="preserve">MM запущен, --signal-setup=N включён</t>
  </si>
  <si>
    <t xml:space="preserve">mmcli -m 0 --signal-get</t>
  </si>
  <si>
    <t xml:space="preserve">Возвращает RSRP/RSRQ/RSSI/SINR по LTE числами</t>
  </si>
  <si>
    <t xml:space="preserve">signal-get (snapshot)</t>
  </si>
  <si>
    <t xml:space="preserve">TC-TEL-021</t>
  </si>
  <si>
    <t xml:space="preserve">FR-19</t>
  </si>
  <si>
    <t xml:space="preserve">Регистрация LTE (нет 5G)</t>
  </si>
  <si>
    <t xml:space="preserve">Прочитать 5G-секцию signal-get</t>
  </si>
  <si>
    <t xml:space="preserve">5G RSRP/RSRQ=-32768 → в UI отображается N/A</t>
  </si>
  <si>
    <t xml:space="preserve">signal-get 5G</t>
  </si>
  <si>
    <t xml:space="preserve">TC-TEL-022</t>
  </si>
  <si>
    <t xml:space="preserve">MM ≥ поддержка GetCellInfo</t>
  </si>
  <si>
    <t xml:space="preserve">mmcli -m 0 --get-cell-info</t>
  </si>
  <si>
    <t xml:space="preserve">Serving + соседи; PCI в hex корректно преобразован; serving=yes помечен</t>
  </si>
  <si>
    <t xml:space="preserve">get-cell-info (snapshot)</t>
  </si>
  <si>
    <t xml:space="preserve">TC-TEL-023</t>
  </si>
  <si>
    <t xml:space="preserve">Активная сессия (bearer поднят)</t>
  </si>
  <si>
    <t xml:space="preserve">mmcli -b 0</t>
  </si>
  <si>
    <t xml:space="preserve">IP (v4/v6), DNS, шлюз, статистика сессии прочитаны</t>
  </si>
  <si>
    <t xml:space="preserve">bearer</t>
  </si>
  <si>
    <t xml:space="preserve">TC-TEL-024</t>
  </si>
  <si>
    <t xml:space="preserve">FR-22</t>
  </si>
  <si>
    <t xml:space="preserve">MM видит модем</t>
  </si>
  <si>
    <t xml:space="preserve">mmcli -m 0</t>
  </si>
  <si>
    <t xml:space="preserve">Производитель/модель/прошивка/IMEI/номер прочитаны; IMEI/IMSI маскируются в UI</t>
  </si>
  <si>
    <t xml:space="preserve">TC-TEL-025</t>
  </si>
  <si>
    <t xml:space="preserve">location-3gpp включён</t>
  </si>
  <si>
    <t xml:space="preserve">mmcli -m 0 --location-get</t>
  </si>
  <si>
    <t xml:space="preserve">MCC/MNC/LAC/CellID получены (резервный источник для карты)</t>
  </si>
  <si>
    <t xml:space="preserve">location-3gpp</t>
  </si>
  <si>
    <t xml:space="preserve">TC-TEL-030</t>
  </si>
  <si>
    <t xml:space="preserve">Демон</t>
  </si>
  <si>
    <t xml:space="preserve">NFR-2</t>
  </si>
  <si>
    <t xml:space="preserve">AT-демон запущен, mock-AT</t>
  </si>
  <si>
    <t xml:space="preserve">Параллельно: фоновый опрос + AT-консоль + USSD</t>
  </si>
  <si>
    <t xml:space="preserve">Ответы не перемешаны; очередь соблюдена; нет «мусора»</t>
  </si>
  <si>
    <t xml:space="preserve">synthetic concurrent</t>
  </si>
  <si>
    <t xml:space="preserve">TC-TEL-031</t>
  </si>
  <si>
    <t xml:space="preserve">NFR-3</t>
  </si>
  <si>
    <t xml:space="preserve">Открыт один экран</t>
  </si>
  <si>
    <t xml:space="preserve">Сменить активный экран, наблюдать запросы</t>
  </si>
  <si>
    <t xml:space="preserve">Опрашивается только активный экран; фон не молотит впустую</t>
  </si>
  <si>
    <t xml:space="preserve">—</t>
  </si>
  <si>
    <t xml:space="preserve">TC-TEL-032</t>
  </si>
  <si>
    <t xml:space="preserve">FR-26/3.4</t>
  </si>
  <si>
    <t xml:space="preserve">Setup antenna открыт</t>
  </si>
  <si>
    <t xml:space="preserve">Замерить интервалы опроса по экранам</t>
  </si>
  <si>
    <t xml:space="preserve">Setup antenna ≈1 с; прочие 2–3 с</t>
  </si>
  <si>
    <t xml:space="preserve">TC-TEL-040</t>
  </si>
  <si>
    <t xml:space="preserve">UI пороги</t>
  </si>
  <si>
    <t xml:space="preserve">раздел 7</t>
  </si>
  <si>
    <t xml:space="preserve">Мок данных RSRP</t>
  </si>
  <si>
    <t xml:space="preserve">Подать RSRP -79/-85/-95/-105</t>
  </si>
  <si>
    <t xml:space="preserve">Цвет: зелёный/жёлто-зел./жёлтый/красный по таблице порогов</t>
  </si>
  <si>
    <t xml:space="preserve">thresholds</t>
  </si>
  <si>
    <t xml:space="preserve">TC-TEL-041</t>
  </si>
  <si>
    <t xml:space="preserve">Мок данных RSRQ</t>
  </si>
  <si>
    <t xml:space="preserve">Подать RSRQ -9/-12/-18/-22</t>
  </si>
  <si>
    <t xml:space="preserve">Цвет по границам RSRQ (-10/-15/-20)</t>
  </si>
  <si>
    <t xml:space="preserve">TC-TEL-042</t>
  </si>
  <si>
    <t xml:space="preserve">Мок данных SINR</t>
  </si>
  <si>
    <t xml:space="preserve">Подать SINR 22/15/5/-3</t>
  </si>
  <si>
    <t xml:space="preserve">Цвет по границам SINR (20/13/0)</t>
  </si>
  <si>
    <t xml:space="preserve">TC-TEL-043</t>
  </si>
  <si>
    <t xml:space="preserve">Мок данных RSSI</t>
  </si>
  <si>
    <t xml:space="preserve">Подать RSSI -60/-75/-90/-100</t>
  </si>
  <si>
    <t xml:space="preserve">Цвет по границам RSSI (-65/-85/-95)</t>
  </si>
  <si>
    <t xml:space="preserve">TC-TEL-044</t>
  </si>
  <si>
    <t xml:space="preserve">UI N/A</t>
  </si>
  <si>
    <t xml:space="preserve">FR-34</t>
  </si>
  <si>
    <t xml:space="preserve">Метрика недоступна</t>
  </si>
  <si>
    <t xml:space="preserve">Подать Rx2/Rx3=-32768 и 5G на LTE</t>
  </si>
  <si>
    <t xml:space="preserve">Элемент на месте, показывает «N/A»/прочерк, без ошибки</t>
  </si>
  <si>
    <t xml:space="preserve">N/A render</t>
  </si>
  <si>
    <t xml:space="preserve">TC-TEL-045</t>
  </si>
  <si>
    <t xml:space="preserve">UI</t>
  </si>
  <si>
    <t xml:space="preserve">Данные по-антенные</t>
  </si>
  <si>
    <t xml:space="preserve">Открыть Modem Info</t>
  </si>
  <si>
    <t xml:space="preserve">Antenna 0–3 отрисованы; пустые тракты = N/A</t>
  </si>
  <si>
    <t xml:space="preserve">TC-TEL-046</t>
  </si>
  <si>
    <t xml:space="preserve">Данные CA</t>
  </si>
  <si>
    <t xml:space="preserve">Открыть блок CA</t>
  </si>
  <si>
    <t xml:space="preserve">PCC/SCC показаны: band/EARFCN/PCI/RSRP/состояние</t>
  </si>
  <si>
    <t xml:space="preserve">TC-TEL-047</t>
  </si>
  <si>
    <t xml:space="preserve">Данные соседей</t>
  </si>
  <si>
    <t xml:space="preserve">Открыть таблицу соседних сот</t>
  </si>
  <si>
    <t xml:space="preserve">Колонки PCI/EARFCN/RSRP/RSRQ; PCI из hex читаем</t>
  </si>
  <si>
    <t xml:space="preserve">TC-TEL-048</t>
  </si>
  <si>
    <t xml:space="preserve">NFR-4</t>
  </si>
  <si>
    <t xml:space="preserve">Тема LuCI</t>
  </si>
  <si>
    <t xml:space="preserve">Переключить системную тему светлая/тёмная</t>
  </si>
  <si>
    <t xml:space="preserve">Дашборд наследует тему; читаемость сохранена</t>
  </si>
  <si>
    <t xml:space="preserve">TC-TEL-049</t>
  </si>
  <si>
    <t xml:space="preserve">Адаптив</t>
  </si>
  <si>
    <t xml:space="preserve">Узкий (моб.) и широкий (десктоп) viewport</t>
  </si>
  <si>
    <t xml:space="preserve">Вёрстка корректна в обоих; desktop-first</t>
  </si>
  <si>
    <t xml:space="preserve">TC-TEL-050</t>
  </si>
  <si>
    <t xml:space="preserve">FR-24/26</t>
  </si>
  <si>
    <t xml:space="preserve">Наблюдать индикаторы и обновление</t>
  </si>
  <si>
    <t xml:space="preserve">Крупные цветные RSRP/RSRQ/SINR; авто-обновление 1с; индикатор LIVE SYNC</t>
  </si>
  <si>
    <t xml:space="preserve">TC-TEL-060</t>
  </si>
  <si>
    <t xml:space="preserve">Smoke</t>
  </si>
  <si>
    <t xml:space="preserve">FR-12..23</t>
  </si>
  <si>
    <t xml:space="preserve">Реальный RM520N-GL</t>
  </si>
  <si>
    <t xml:space="preserve">Открыть Modem Info на устройстве</t>
  </si>
  <si>
    <t xml:space="preserve">Все поля заполнены реальными данными; недоступные = N/A</t>
  </si>
  <si>
    <t xml:space="preserve">RM520N-GL</t>
  </si>
  <si>
    <t xml:space="preserve">TC-TEL-061</t>
  </si>
  <si>
    <t xml:space="preserve">FR-24..26</t>
  </si>
  <si>
    <t xml:space="preserve">Реальный модем, движение/смена антенны</t>
  </si>
  <si>
    <t xml:space="preserve">Открыть Setup antenna, менять положение антенны</t>
  </si>
  <si>
    <t xml:space="preserve">Значения меняются в реальном времени, без зависаний/обрывов</t>
  </si>
  <si>
    <t xml:space="preserve">TC-CTL-001</t>
  </si>
  <si>
    <t xml:space="preserve">Панель/интерфейс</t>
  </si>
  <si>
    <t xml:space="preserve">FR-1</t>
  </si>
  <si>
    <t xml:space="preserve">Открыть Расширенную панель</t>
  </si>
  <si>
    <t xml:space="preserve">Показан интерфейс /dev/cdc-wdm0, индекс MM, привязка cdc-wdm↔mmcli</t>
  </si>
  <si>
    <t xml:space="preserve">mmcli -L</t>
  </si>
  <si>
    <t xml:space="preserve">TC-CTL-002</t>
  </si>
  <si>
    <t xml:space="preserve">SIM</t>
  </si>
  <si>
    <t xml:space="preserve">FR-2</t>
  </si>
  <si>
    <t xml:space="preserve">2 слота (slot2 может быть пуст)</t>
  </si>
  <si>
    <t xml:space="preserve">Выбрать SIM1 → SIM2</t>
  </si>
  <si>
    <t xml:space="preserve">Команда смены слота отправлена; пустой slot2 помечен «нет SIM»</t>
  </si>
  <si>
    <t xml:space="preserve">SetPrimarySimSlot</t>
  </si>
  <si>
    <t xml:space="preserve">TC-CTL-003</t>
  </si>
  <si>
    <t xml:space="preserve">TTL</t>
  </si>
  <si>
    <t xml:space="preserve">FR-3</t>
  </si>
  <si>
    <t xml:space="preserve">Соединение поднято</t>
  </si>
  <si>
    <t xml:space="preserve">Задать входящий/исходящий TTL=64, применить</t>
  </si>
  <si>
    <t xml:space="preserve">Правила TTL применены в iptables/nft; значение сохранено в UCI</t>
  </si>
  <si>
    <t xml:space="preserve">nft list</t>
  </si>
  <si>
    <t xml:space="preserve">TC-CTL-004</t>
  </si>
  <si>
    <t xml:space="preserve">RAT</t>
  </si>
  <si>
    <t xml:space="preserve">FR-4</t>
  </si>
  <si>
    <t xml:space="preserve">MM активен</t>
  </si>
  <si>
    <t xml:space="preserve">Выбрать пресет «4G+5G (Pref 5G)», применить</t>
  </si>
  <si>
    <t xml:space="preserve">Режим применён (MM SetCurrentModes / QNWPREFCFG); текущий режим обновлён</t>
  </si>
  <si>
    <t xml:space="preserve">set-allowed-modes</t>
  </si>
  <si>
    <t xml:space="preserve">TC-CTL-005</t>
  </si>
  <si>
    <t xml:space="preserve">Выбрать режим, не поддерживаемый через MM</t>
  </si>
  <si>
    <t xml:space="preserve">Показано предупреждение об ограничении ModemManager; нет «тихого» сбоя</t>
  </si>
  <si>
    <t xml:space="preserve">TC-CTL-006</t>
  </si>
  <si>
    <t xml:space="preserve">Band-lock</t>
  </si>
  <si>
    <t xml:space="preserve">FR-5</t>
  </si>
  <si>
    <t xml:space="preserve">Снять все LTE, оставить B7, применить</t>
  </si>
  <si>
    <t xml:space="preserve">Список бэндов применён; текущий band в статусе = B7</t>
  </si>
  <si>
    <t xml:space="preserve">set-current-bands</t>
  </si>
  <si>
    <t xml:space="preserve">TC-CTL-007</t>
  </si>
  <si>
    <t xml:space="preserve">Band-lock NR</t>
  </si>
  <si>
    <t xml:space="preserve">Поддержка NR band-lock</t>
  </si>
  <si>
    <t xml:space="preserve">Залочить только n78 через тонкий механизм</t>
  </si>
  <si>
    <t xml:space="preserve">AT+QNWPREFCFG="nr5g_band" применён покабельно; список соответствует</t>
  </si>
  <si>
    <t xml:space="preserve">QNWPREFCFG nr5g_band</t>
  </si>
  <si>
    <t xml:space="preserve">TC-CTL-008</t>
  </si>
  <si>
    <t xml:space="preserve">Нажать «Включить все частоты» / «Выключить все»</t>
  </si>
  <si>
    <t xml:space="preserve">Все диапазоны включены/выключены соответственно</t>
  </si>
  <si>
    <t xml:space="preserve">TC-CTL-009</t>
  </si>
  <si>
    <t xml:space="preserve">Применение</t>
  </si>
  <si>
    <t xml:space="preserve">FR-6</t>
  </si>
  <si>
    <t xml:space="preserve">Открыт band/RAT</t>
  </si>
  <si>
    <t xml:space="preserve">Нажать «Сохранить и применить»</t>
  </si>
  <si>
    <t xml:space="preserve">Запрос подтверждения + предупреждение об обрыве; после — связь восстанавливается</t>
  </si>
  <si>
    <t xml:space="preserve">TC-CTL-010</t>
  </si>
  <si>
    <t xml:space="preserve">Дозвон</t>
  </si>
  <si>
    <t xml:space="preserve">FR-7,FR-8</t>
  </si>
  <si>
    <t xml:space="preserve">APN задан</t>
  </si>
  <si>
    <t xml:space="preserve">Поднять соединение через proto modemmanager</t>
  </si>
  <si>
    <t xml:space="preserve">Сессия connected; IP получен; параметры APN/PDP/auth применены</t>
  </si>
  <si>
    <t xml:space="preserve">ifup LTE</t>
  </si>
  <si>
    <t xml:space="preserve">TC-CTL-011</t>
  </si>
  <si>
    <t xml:space="preserve">FR-8</t>
  </si>
  <si>
    <t xml:space="preserve">SIM под PIN</t>
  </si>
  <si>
    <t xml:space="preserve">Ввести PIN</t>
  </si>
  <si>
    <t xml:space="preserve">PIN принят (mmcli -i 0 --pin); разблокировка успешна</t>
  </si>
  <si>
    <t xml:space="preserve">--pin</t>
  </si>
  <si>
    <t xml:space="preserve">TC-CTL-012</t>
  </si>
  <si>
    <t xml:space="preserve">FR-9</t>
  </si>
  <si>
    <t xml:space="preserve">Соединение активно</t>
  </si>
  <si>
    <t xml:space="preserve">Сымитировать потерю регистрации</t>
  </si>
  <si>
    <t xml:space="preserve">Авто-реконнект через netifd; мониторинг состояния поймал событие</t>
  </si>
  <si>
    <t xml:space="preserve">--monitor-state</t>
  </si>
  <si>
    <t xml:space="preserve">TC-CTL-013</t>
  </si>
  <si>
    <t xml:space="preserve">Сброс</t>
  </si>
  <si>
    <t xml:space="preserve">Модем доступен</t>
  </si>
  <si>
    <t xml:space="preserve">Выполнить перезапуск модема</t>
  </si>
  <si>
    <t xml:space="preserve">Подтверждение действия; mmcli --reset; модем переинициализирован</t>
  </si>
  <si>
    <t xml:space="preserve">--reset</t>
  </si>
  <si>
    <t xml:space="preserve">TC-CTL-014</t>
  </si>
  <si>
    <t xml:space="preserve">AT-консоль</t>
  </si>
  <si>
    <t xml:space="preserve">FR-10</t>
  </si>
  <si>
    <t xml:space="preserve">AT-демон запущен</t>
  </si>
  <si>
    <t xml:space="preserve">Отправить ATI через консоль</t>
  </si>
  <si>
    <t xml:space="preserve">Ответ модема показан; команда прошла через очередь демона</t>
  </si>
  <si>
    <t xml:space="preserve">ATI</t>
  </si>
  <si>
    <t xml:space="preserve">TC-CTL-015</t>
  </si>
  <si>
    <t xml:space="preserve">FR-10,NFR-6</t>
  </si>
  <si>
    <t xml:space="preserve">Ввести строку со спецсимволами/инъекцией</t>
  </si>
  <si>
    <t xml:space="preserve">Ввод экранирован; нет shell-инъекции; некорректная AT даёт ERROR, не сбой</t>
  </si>
  <si>
    <t xml:space="preserve">TC-CTL-016</t>
  </si>
  <si>
    <t xml:space="preserve">Кастом AT</t>
  </si>
  <si>
    <t xml:space="preserve">FR-11</t>
  </si>
  <si>
    <t xml:space="preserve">Низкий</t>
  </si>
  <si>
    <t xml:space="preserve">Заданы post-init/pre-dial</t>
  </si>
  <si>
    <t xml:space="preserve">Добавить команду с задержкой на этап</t>
  </si>
  <si>
    <t xml:space="preserve">Команда выполняется на нужном этапе с задержкой</t>
  </si>
  <si>
    <t xml:space="preserve">TC-CTL-017</t>
  </si>
  <si>
    <t xml:space="preserve">Владение конфигом</t>
  </si>
  <si>
    <t xml:space="preserve">AC-1</t>
  </si>
  <si>
    <t xml:space="preserve">Чистая установка</t>
  </si>
  <si>
    <t xml:space="preserve">Установить модуль</t>
  </si>
  <si>
    <t xml:space="preserve">Бэкап /etc/config/network создан; показаны вносимые изменения</t>
  </si>
  <si>
    <t xml:space="preserve">install hook</t>
  </si>
  <si>
    <t xml:space="preserve">TC-SVC-001</t>
  </si>
  <si>
    <t xml:space="preserve">SMS</t>
  </si>
  <si>
    <t xml:space="preserve">FR-31</t>
  </si>
  <si>
    <t xml:space="preserve">Есть входящие</t>
  </si>
  <si>
    <t xml:space="preserve">Открыть SMS, прочитать список</t>
  </si>
  <si>
    <t xml:space="preserve">Входящие отображены (MM --messaging-list); история доступна</t>
  </si>
  <si>
    <t xml:space="preserve">messaging-list</t>
  </si>
  <si>
    <t xml:space="preserve">TC-SVC-002</t>
  </si>
  <si>
    <t xml:space="preserve">Сеть доступна</t>
  </si>
  <si>
    <t xml:space="preserve">Отправить SMS с кириллицей и длинный текст</t>
  </si>
  <si>
    <t xml:space="preserve">MM собрал длинное/UCS2; доставлено; статус отправки показан</t>
  </si>
  <si>
    <t xml:space="preserve">messaging-create</t>
  </si>
  <si>
    <t xml:space="preserve">TC-SVC-003</t>
  </si>
  <si>
    <t xml:space="preserve">Есть сообщения</t>
  </si>
  <si>
    <t xml:space="preserve">Экспортировать сообщения в ФС</t>
  </si>
  <si>
    <t xml:space="preserve">Файл с сообщениями сохранён</t>
  </si>
  <si>
    <t xml:space="preserve">TC-SVC-004</t>
  </si>
  <si>
    <t xml:space="preserve">USSD</t>
  </si>
  <si>
    <t xml:space="preserve">FR-32</t>
  </si>
  <si>
    <t xml:space="preserve">Отправить *100# (баланс)</t>
  </si>
  <si>
    <t xml:space="preserve">Ответ показан; кириллица (UCS2) декодирована корректно</t>
  </si>
  <si>
    <t xml:space="preserve">TC-SVC-005</t>
  </si>
  <si>
    <t xml:space="preserve">FR-32,NFR-2</t>
  </si>
  <si>
    <t xml:space="preserve">Фоновый опрос идёт</t>
  </si>
  <si>
    <t xml:space="preserve">Запустить USSD при активном мониторинге</t>
  </si>
  <si>
    <t xml:space="preserve">Сессия сериализована; нет конфликта с телеметрией</t>
  </si>
  <si>
    <t xml:space="preserve">concurrent</t>
  </si>
  <si>
    <t xml:space="preserve">TC-SVC-006</t>
  </si>
  <si>
    <t xml:space="preserve">Спидтест</t>
  </si>
  <si>
    <t xml:space="preserve">FR-29</t>
  </si>
  <si>
    <t xml:space="preserve">librespeed-cli установлен</t>
  </si>
  <si>
    <t xml:space="preserve">Запустить полный тест</t>
  </si>
  <si>
    <t xml:space="preserve">Показаны ↓/↑/ping/jitter; результат распарсен из JSON</t>
  </si>
  <si>
    <t xml:space="preserve">librespeed JSON</t>
  </si>
  <si>
    <t xml:space="preserve">TC-SVC-007</t>
  </si>
  <si>
    <t xml:space="preserve">Перед запуском теста</t>
  </si>
  <si>
    <t xml:space="preserve">Показано предупреждение «тест нагрузит канал»</t>
  </si>
  <si>
    <t xml:space="preserve">TC-SVC-008</t>
  </si>
  <si>
    <t xml:space="preserve">FR-27,FR-28</t>
  </si>
  <si>
    <t xml:space="preserve">Сессия активна</t>
  </si>
  <si>
    <t xml:space="preserve">Наблюдать график скорости</t>
  </si>
  <si>
    <t xml:space="preserve">Realtime ↓/↑; средняя (выборка) и пиковая (сессия) считаются верно</t>
  </si>
  <si>
    <t xml:space="preserve">TC-SVC-009</t>
  </si>
  <si>
    <t xml:space="preserve">FR-30</t>
  </si>
  <si>
    <t xml:space="preserve">URL задан</t>
  </si>
  <si>
    <t xml:space="preserve">Запустить запасной URL-тест</t>
  </si>
  <si>
    <t xml:space="preserve">Файл качается; показана текущая скорость</t>
  </si>
  <si>
    <t xml:space="preserve">TC-SVC-010</t>
  </si>
  <si>
    <t xml:space="preserve">Скан сетей</t>
  </si>
  <si>
    <t xml:space="preserve">FR-32a</t>
  </si>
  <si>
    <t xml:space="preserve">Нажать «Сканировать сети»</t>
  </si>
  <si>
    <t xml:space="preserve">Предупреждение о длительности; список операторов (PLMN/имя/тех/статус)</t>
  </si>
  <si>
    <t xml:space="preserve">--3gpp-scan</t>
  </si>
  <si>
    <t xml:space="preserve">TC-SVC-011</t>
  </si>
  <si>
    <t xml:space="preserve">Карта</t>
  </si>
  <si>
    <t xml:space="preserve">FR-33</t>
  </si>
  <si>
    <t xml:space="preserve">Известна текущая сота</t>
  </si>
  <si>
    <t xml:space="preserve">Нажать «Показать на карте»</t>
  </si>
  <si>
    <t xml:space="preserve">Открыт deep-link на 4cells.ru с MCC/MNC/eNB/CID текущей соты</t>
  </si>
  <si>
    <t xml:space="preserve">deep-link</t>
  </si>
  <si>
    <t xml:space="preserve">TC-SVC-012</t>
  </si>
  <si>
    <t xml:space="preserve">Событийный мониторинг</t>
  </si>
  <si>
    <t xml:space="preserve">FR-32b</t>
  </si>
  <si>
    <t xml:space="preserve">Сменить технологию/регистрацию</t>
  </si>
  <si>
    <t xml:space="preserve">UI реагирует событийно (monitor-state), без поллинга</t>
  </si>
  <si>
    <t xml:space="preserve">TC-GEN-001</t>
  </si>
  <si>
    <t xml:space="preserve">Тема</t>
  </si>
  <si>
    <t xml:space="preserve">LuCI тема переключаема</t>
  </si>
  <si>
    <t xml:space="preserve">Сменить тему системы (светлая/тёмная)</t>
  </si>
  <si>
    <t xml:space="preserve">Модуль наследует тему; контраст/читаемость ок</t>
  </si>
  <si>
    <t xml:space="preserve">TC-GEN-002</t>
  </si>
  <si>
    <t xml:space="preserve">Язык</t>
  </si>
  <si>
    <t xml:space="preserve">NFR-5</t>
  </si>
  <si>
    <t xml:space="preserve">ru и en доступны</t>
  </si>
  <si>
    <t xml:space="preserve">Переключить язык LuCI ru↔en</t>
  </si>
  <si>
    <t xml:space="preserve">Все строки переведены; нет «дыр»; тех. единицы латиницей</t>
  </si>
  <si>
    <t xml:space="preserve">po ru/en</t>
  </si>
  <si>
    <t xml:space="preserve">TC-GEN-003</t>
  </si>
  <si>
    <t xml:space="preserve">Прогнать узкий и широкий viewport на всех экранах</t>
  </si>
  <si>
    <t xml:space="preserve">Вёрстка корректна; desktop-first; ничего не ломается</t>
  </si>
  <si>
    <t xml:space="preserve">TC-GEN-004</t>
  </si>
  <si>
    <t xml:space="preserve">Безопасность</t>
  </si>
  <si>
    <t xml:space="preserve">NFR-6</t>
  </si>
  <si>
    <t xml:space="preserve">rpcd ACL настроен</t>
  </si>
  <si>
    <t xml:space="preserve">Запрос к ubus без авторизации</t>
  </si>
  <si>
    <t xml:space="preserve">Доступ запрещён; нужен стандартный вход LuCI</t>
  </si>
  <si>
    <t xml:space="preserve">rpcd ACL</t>
  </si>
  <si>
    <t xml:space="preserve">TC-GEN-005</t>
  </si>
  <si>
    <t xml:space="preserve">Подать инъекцию в APN/USSD/SMS/AT</t>
  </si>
  <si>
    <t xml:space="preserve">Ввод экранирован; команда не выполняется как shell</t>
  </si>
  <si>
    <t xml:space="preserve">TC-GEN-006</t>
  </si>
  <si>
    <t xml:space="preserve">Данные устройства</t>
  </si>
  <si>
    <t xml:space="preserve">Открыть инфо об устройстве</t>
  </si>
  <si>
    <t xml:space="preserve">IMEI/IMSI/номер маскируются в UI</t>
  </si>
  <si>
    <t xml:space="preserve">TC-GEN-007</t>
  </si>
  <si>
    <t xml:space="preserve">Деструктив</t>
  </si>
  <si>
    <t xml:space="preserve">UI-3</t>
  </si>
  <si>
    <t xml:space="preserve">Инициировать band/RAT/reboot</t>
  </si>
  <si>
    <t xml:space="preserve">Каждое действие требует подтверждения + предупреждение</t>
  </si>
  <si>
    <t xml:space="preserve">TC-GEN-008</t>
  </si>
  <si>
    <t xml:space="preserve">Устойчивость</t>
  </si>
  <si>
    <t xml:space="preserve">Модем выдернут/ошибка</t>
  </si>
  <si>
    <t xml:space="preserve">Сымитировать отказ модема</t>
  </si>
  <si>
    <t xml:space="preserve">Сеть не падает; мониторинг авто-восстанавливается; поля = N/A</t>
  </si>
  <si>
    <t xml:space="preserve">TC-GEN-009</t>
  </si>
  <si>
    <t xml:space="preserve">Установка</t>
  </si>
  <si>
    <t xml:space="preserve">AC-1,DEL-3</t>
  </si>
  <si>
    <t xml:space="preserve">ImmortalWRT 25.12, чистая</t>
  </si>
  <si>
    <t xml:space="preserve">apk add пакета</t>
  </si>
  <si>
    <t xml:space="preserve">Ставится без ручных зависимостей; зависимости (luci-proto-modemmanager и др.) подтянуты</t>
  </si>
  <si>
    <t xml:space="preserve">apk</t>
  </si>
  <si>
    <t xml:space="preserve">TC-GEN-010</t>
  </si>
  <si>
    <t xml:space="preserve">Ресурсы</t>
  </si>
  <si>
    <t xml:space="preserve">NFR-3,NFR-8</t>
  </si>
  <si>
    <t xml:space="preserve">Модуль работает</t>
  </si>
  <si>
    <t xml:space="preserve">Замерить CPU/RAM при опросе</t>
  </si>
  <si>
    <t xml:space="preserve">Нагрузка в бюджете; опрос не мешает трафику</t>
  </si>
  <si>
    <t xml:space="preserve">top</t>
  </si>
  <si>
    <t xml:space="preserve">TC-GEN-011</t>
  </si>
  <si>
    <t xml:space="preserve">Приёмка</t>
  </si>
  <si>
    <t xml:space="preserve">AC-7</t>
  </si>
  <si>
    <t xml:space="preserve">Реальный RM520N</t>
  </si>
  <si>
    <t xml:space="preserve">AT-консоль + фоновый опрос одновременно</t>
  </si>
  <si>
    <t xml:space="preserve">Нет обрывов/мусора (демон сериализует)</t>
  </si>
  <si>
    <t xml:space="preserve">TC-GEN-012</t>
  </si>
  <si>
    <t xml:space="preserve">AC-*</t>
  </si>
  <si>
    <t xml:space="preserve">Полевые условия (авто)</t>
  </si>
  <si>
    <t xml:space="preserve">Поездка: мониторинг + юстировка</t>
  </si>
  <si>
    <t xml:space="preserve">Стабильно в движении; без падения мониторинга/сети</t>
  </si>
  <si>
    <t xml:space="preserve">выезд</t>
  </si>
  <si>
    <t xml:space="preserve">Сводка по реестру тест-кейсов</t>
  </si>
  <si>
    <t xml:space="preserve">Блок</t>
  </si>
  <si>
    <t xml:space="preserve">Кол-во</t>
  </si>
  <si>
    <t xml:space="preserve">(Телеметрия)</t>
  </si>
  <si>
    <t xml:space="preserve">(Управление)</t>
  </si>
  <si>
    <t xml:space="preserve">(Сервисы)</t>
  </si>
  <si>
    <t xml:space="preserve">(Кросс-Приёмка)</t>
  </si>
  <si>
    <t xml:space="preserve">ВСЕГО</t>
  </si>
  <si>
    <t xml:space="preserve">По способу проверки (все блоки)</t>
  </si>
  <si>
    <t xml:space="preserve">По статусу (все блоки)</t>
  </si>
  <si>
    <t xml:space="preserve">Пройден</t>
  </si>
  <si>
    <t xml:space="preserve">Провален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</si>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</sst>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5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F4E5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7F9FA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D6E4F0"/>
      </patternFill>
    </fill>
    <fill>
      <patternFill patternType="solid">
        <fgColor rgb="FFFFE699"/>
        <bgColor rgb="FFFCE4D6"/>
      </patternFill>
    </fill>
    <fill>
      <patternFill patternType="solid">
        <fgColor rgb="FFD6E4F0"/>
        <bgColor rgb="FFDDEBF7"/>
      </patternFill>
    </fill>
    <fill>
      <patternFill patternType="solid">
        <fgColor rgb="FFE4DFEC"/>
        <bgColor rgb="FFD6E4F0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F7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BC"/>
      </left>
      <right style="thin">
        <color rgb="FFB0B8BC"/>
      </right>
      <top style="thin">
        <color rgb="FFB0B8BC"/>
      </top>
      <bottom style="thin">
        <color rgb="FFB0B8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C"/>
      <rgbColor rgb="FF808080"/>
      <rgbColor rgb="FF9999FF"/>
      <rgbColor rgb="FF993366"/>
      <rgbColor rgb="FFF7F9FA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4DFE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3"/>
    </row>
    <row r="7" customFormat="false" ht="26.85" hidden="false" customHeight="false" outlineLevel="0" collapsed="false">
      <c r="A7" s="4" t="s">
        <v>9</v>
      </c>
      <c r="B7" s="3"/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7" min="6" style="0" width="46"/>
    <col collapsed="false" customWidth="true" hidden="false" outlineLevel="0" max="8" min="8" style="0" width="17"/>
    <col collapsed="false" customWidth="true" hidden="false" outlineLevel="0" max="9" min="9" style="0" width="30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customFormat="false" ht="35.05" hidden="false" customHeight="false" outlineLevel="0" collapsed="false">
      <c r="A2" s="6" t="s">
        <v>36</v>
      </c>
      <c r="B2" s="7" t="s">
        <v>37</v>
      </c>
      <c r="C2" s="7" t="s">
        <v>38</v>
      </c>
      <c r="D2" s="8" t="s">
        <v>39</v>
      </c>
      <c r="E2" s="7" t="s">
        <v>40</v>
      </c>
      <c r="F2" s="7" t="s">
        <v>41</v>
      </c>
      <c r="G2" s="7" t="s">
        <v>42</v>
      </c>
      <c r="H2" s="9" t="s">
        <v>10</v>
      </c>
      <c r="I2" s="7" t="s">
        <v>43</v>
      </c>
      <c r="J2" s="7" t="s">
        <v>44</v>
      </c>
    </row>
    <row r="3" customFormat="false" ht="26.85" hidden="false" customHeight="false" outlineLevel="0" collapsed="false">
      <c r="A3" s="6" t="s">
        <v>45</v>
      </c>
      <c r="B3" s="10" t="s">
        <v>37</v>
      </c>
      <c r="C3" s="10" t="s">
        <v>38</v>
      </c>
      <c r="D3" s="8" t="s">
        <v>39</v>
      </c>
      <c r="E3" s="10" t="s">
        <v>46</v>
      </c>
      <c r="F3" s="10" t="s">
        <v>47</v>
      </c>
      <c r="G3" s="10" t="s">
        <v>48</v>
      </c>
      <c r="H3" s="9" t="s">
        <v>10</v>
      </c>
      <c r="I3" s="10" t="s">
        <v>43</v>
      </c>
      <c r="J3" s="10" t="s">
        <v>44</v>
      </c>
    </row>
    <row r="4" customFormat="false" ht="26.85" hidden="false" customHeight="false" outlineLevel="0" collapsed="false">
      <c r="A4" s="6" t="s">
        <v>49</v>
      </c>
      <c r="B4" s="7" t="s">
        <v>37</v>
      </c>
      <c r="C4" s="7" t="s">
        <v>50</v>
      </c>
      <c r="D4" s="8" t="s">
        <v>39</v>
      </c>
      <c r="E4" s="7" t="s">
        <v>46</v>
      </c>
      <c r="F4" s="7" t="s">
        <v>51</v>
      </c>
      <c r="G4" s="7" t="s">
        <v>52</v>
      </c>
      <c r="H4" s="9" t="s">
        <v>10</v>
      </c>
      <c r="I4" s="7" t="s">
        <v>43</v>
      </c>
      <c r="J4" s="7" t="s">
        <v>44</v>
      </c>
    </row>
    <row r="5" customFormat="false" ht="26.85" hidden="false" customHeight="false" outlineLevel="0" collapsed="false">
      <c r="A5" s="6" t="s">
        <v>53</v>
      </c>
      <c r="B5" s="10" t="s">
        <v>37</v>
      </c>
      <c r="C5" s="10" t="s">
        <v>54</v>
      </c>
      <c r="D5" s="8" t="s">
        <v>39</v>
      </c>
      <c r="E5" s="10" t="s">
        <v>55</v>
      </c>
      <c r="F5" s="10" t="s">
        <v>56</v>
      </c>
      <c r="G5" s="10" t="s">
        <v>57</v>
      </c>
      <c r="H5" s="9" t="s">
        <v>10</v>
      </c>
      <c r="I5" s="10" t="s">
        <v>58</v>
      </c>
      <c r="J5" s="10" t="s">
        <v>44</v>
      </c>
    </row>
    <row r="6" customFormat="false" ht="26.85" hidden="false" customHeight="false" outlineLevel="0" collapsed="false">
      <c r="A6" s="6" t="s">
        <v>59</v>
      </c>
      <c r="B6" s="7" t="s">
        <v>37</v>
      </c>
      <c r="C6" s="7" t="s">
        <v>54</v>
      </c>
      <c r="D6" s="8" t="s">
        <v>39</v>
      </c>
      <c r="E6" s="7" t="s">
        <v>60</v>
      </c>
      <c r="F6" s="7" t="s">
        <v>61</v>
      </c>
      <c r="G6" s="7" t="s">
        <v>62</v>
      </c>
      <c r="H6" s="9" t="s">
        <v>10</v>
      </c>
      <c r="I6" s="7" t="s">
        <v>63</v>
      </c>
      <c r="J6" s="7" t="s">
        <v>44</v>
      </c>
    </row>
    <row r="7" customFormat="false" ht="26.85" hidden="false" customHeight="false" outlineLevel="0" collapsed="false">
      <c r="A7" s="6" t="s">
        <v>64</v>
      </c>
      <c r="B7" s="10" t="s">
        <v>37</v>
      </c>
      <c r="C7" s="10" t="s">
        <v>65</v>
      </c>
      <c r="D7" s="8" t="s">
        <v>39</v>
      </c>
      <c r="E7" s="10" t="s">
        <v>66</v>
      </c>
      <c r="F7" s="10" t="s">
        <v>67</v>
      </c>
      <c r="G7" s="10" t="s">
        <v>68</v>
      </c>
      <c r="H7" s="9" t="s">
        <v>10</v>
      </c>
      <c r="I7" s="10" t="s">
        <v>69</v>
      </c>
      <c r="J7" s="10" t="s">
        <v>44</v>
      </c>
    </row>
    <row r="8" customFormat="false" ht="26.85" hidden="false" customHeight="false" outlineLevel="0" collapsed="false">
      <c r="A8" s="6" t="s">
        <v>70</v>
      </c>
      <c r="B8" s="7" t="s">
        <v>37</v>
      </c>
      <c r="C8" s="7" t="s">
        <v>65</v>
      </c>
      <c r="D8" s="11" t="s">
        <v>71</v>
      </c>
      <c r="E8" s="7" t="s">
        <v>72</v>
      </c>
      <c r="F8" s="7" t="s">
        <v>73</v>
      </c>
      <c r="G8" s="7" t="s">
        <v>74</v>
      </c>
      <c r="H8" s="9" t="s">
        <v>10</v>
      </c>
      <c r="I8" s="7" t="s">
        <v>75</v>
      </c>
      <c r="J8" s="7" t="s">
        <v>76</v>
      </c>
    </row>
    <row r="9" customFormat="false" ht="26.85" hidden="false" customHeight="false" outlineLevel="0" collapsed="false">
      <c r="A9" s="6" t="s">
        <v>77</v>
      </c>
      <c r="B9" s="10" t="s">
        <v>37</v>
      </c>
      <c r="C9" s="10" t="s">
        <v>78</v>
      </c>
      <c r="D9" s="11" t="s">
        <v>71</v>
      </c>
      <c r="E9" s="10" t="s">
        <v>79</v>
      </c>
      <c r="F9" s="10" t="s">
        <v>80</v>
      </c>
      <c r="G9" s="10" t="s">
        <v>81</v>
      </c>
      <c r="H9" s="9" t="s">
        <v>10</v>
      </c>
      <c r="I9" s="10" t="s">
        <v>82</v>
      </c>
      <c r="J9" s="10" t="s">
        <v>44</v>
      </c>
    </row>
    <row r="10" customFormat="false" ht="26.85" hidden="false" customHeight="false" outlineLevel="0" collapsed="false">
      <c r="A10" s="6" t="s">
        <v>83</v>
      </c>
      <c r="B10" s="7" t="s">
        <v>37</v>
      </c>
      <c r="C10" s="7" t="s">
        <v>84</v>
      </c>
      <c r="D10" s="8" t="s">
        <v>39</v>
      </c>
      <c r="E10" s="7" t="s">
        <v>85</v>
      </c>
      <c r="F10" s="7" t="s">
        <v>86</v>
      </c>
      <c r="G10" s="7" t="s">
        <v>87</v>
      </c>
      <c r="H10" s="9" t="s">
        <v>10</v>
      </c>
      <c r="I10" s="7" t="s">
        <v>88</v>
      </c>
      <c r="J10" s="7" t="s">
        <v>44</v>
      </c>
    </row>
    <row r="11" customFormat="false" ht="26.85" hidden="false" customHeight="false" outlineLevel="0" collapsed="false">
      <c r="A11" s="6" t="s">
        <v>89</v>
      </c>
      <c r="B11" s="10" t="s">
        <v>37</v>
      </c>
      <c r="C11" s="10" t="s">
        <v>90</v>
      </c>
      <c r="D11" s="11" t="s">
        <v>71</v>
      </c>
      <c r="E11" s="10" t="s">
        <v>91</v>
      </c>
      <c r="F11" s="10" t="s">
        <v>92</v>
      </c>
      <c r="G11" s="10" t="s">
        <v>93</v>
      </c>
      <c r="H11" s="9" t="s">
        <v>10</v>
      </c>
      <c r="I11" s="10" t="s">
        <v>94</v>
      </c>
      <c r="J11" s="10" t="s">
        <v>44</v>
      </c>
    </row>
    <row r="12" customFormat="false" ht="26.85" hidden="false" customHeight="false" outlineLevel="0" collapsed="false">
      <c r="A12" s="6" t="s">
        <v>95</v>
      </c>
      <c r="B12" s="7" t="s">
        <v>96</v>
      </c>
      <c r="C12" s="7" t="s">
        <v>97</v>
      </c>
      <c r="D12" s="8" t="s">
        <v>39</v>
      </c>
      <c r="E12" s="7" t="s">
        <v>98</v>
      </c>
      <c r="F12" s="7" t="s">
        <v>99</v>
      </c>
      <c r="G12" s="7" t="s">
        <v>100</v>
      </c>
      <c r="H12" s="12" t="s">
        <v>14</v>
      </c>
      <c r="I12" s="7" t="s">
        <v>101</v>
      </c>
      <c r="J12" s="7" t="s">
        <v>44</v>
      </c>
    </row>
    <row r="13" customFormat="false" ht="26.85" hidden="false" customHeight="false" outlineLevel="0" collapsed="false">
      <c r="A13" s="6" t="s">
        <v>102</v>
      </c>
      <c r="B13" s="10" t="s">
        <v>96</v>
      </c>
      <c r="C13" s="10" t="s">
        <v>103</v>
      </c>
      <c r="D13" s="8" t="s">
        <v>39</v>
      </c>
      <c r="E13" s="10" t="s">
        <v>104</v>
      </c>
      <c r="F13" s="10" t="s">
        <v>105</v>
      </c>
      <c r="G13" s="10" t="s">
        <v>106</v>
      </c>
      <c r="H13" s="12" t="s">
        <v>14</v>
      </c>
      <c r="I13" s="10" t="s">
        <v>107</v>
      </c>
      <c r="J13" s="10" t="s">
        <v>44</v>
      </c>
    </row>
    <row r="14" customFormat="false" ht="26.85" hidden="false" customHeight="false" outlineLevel="0" collapsed="false">
      <c r="A14" s="6" t="s">
        <v>108</v>
      </c>
      <c r="B14" s="7" t="s">
        <v>96</v>
      </c>
      <c r="C14" s="7" t="s">
        <v>90</v>
      </c>
      <c r="D14" s="8" t="s">
        <v>39</v>
      </c>
      <c r="E14" s="7" t="s">
        <v>109</v>
      </c>
      <c r="F14" s="7" t="s">
        <v>110</v>
      </c>
      <c r="G14" s="7" t="s">
        <v>111</v>
      </c>
      <c r="H14" s="12" t="s">
        <v>14</v>
      </c>
      <c r="I14" s="7" t="s">
        <v>112</v>
      </c>
      <c r="J14" s="7" t="s">
        <v>44</v>
      </c>
    </row>
    <row r="15" customFormat="false" ht="26.85" hidden="false" customHeight="false" outlineLevel="0" collapsed="false">
      <c r="A15" s="6" t="s">
        <v>113</v>
      </c>
      <c r="B15" s="10" t="s">
        <v>96</v>
      </c>
      <c r="C15" s="10" t="s">
        <v>78</v>
      </c>
      <c r="D15" s="8" t="s">
        <v>39</v>
      </c>
      <c r="E15" s="10" t="s">
        <v>114</v>
      </c>
      <c r="F15" s="10" t="s">
        <v>115</v>
      </c>
      <c r="G15" s="10" t="s">
        <v>116</v>
      </c>
      <c r="H15" s="12" t="s">
        <v>14</v>
      </c>
      <c r="I15" s="10" t="s">
        <v>117</v>
      </c>
      <c r="J15" s="10" t="s">
        <v>44</v>
      </c>
    </row>
    <row r="16" customFormat="false" ht="26.85" hidden="false" customHeight="false" outlineLevel="0" collapsed="false">
      <c r="A16" s="6" t="s">
        <v>118</v>
      </c>
      <c r="B16" s="7" t="s">
        <v>96</v>
      </c>
      <c r="C16" s="7" t="s">
        <v>119</v>
      </c>
      <c r="D16" s="11" t="s">
        <v>71</v>
      </c>
      <c r="E16" s="7" t="s">
        <v>120</v>
      </c>
      <c r="F16" s="7" t="s">
        <v>121</v>
      </c>
      <c r="G16" s="7" t="s">
        <v>122</v>
      </c>
      <c r="H16" s="12" t="s">
        <v>14</v>
      </c>
      <c r="I16" s="7" t="s">
        <v>121</v>
      </c>
      <c r="J16" s="7" t="s">
        <v>44</v>
      </c>
    </row>
    <row r="17" customFormat="false" ht="26.85" hidden="false" customHeight="false" outlineLevel="0" collapsed="false">
      <c r="A17" s="6" t="s">
        <v>123</v>
      </c>
      <c r="B17" s="10" t="s">
        <v>96</v>
      </c>
      <c r="C17" s="10" t="s">
        <v>38</v>
      </c>
      <c r="D17" s="11" t="s">
        <v>71</v>
      </c>
      <c r="E17" s="10" t="s">
        <v>124</v>
      </c>
      <c r="F17" s="10" t="s">
        <v>125</v>
      </c>
      <c r="G17" s="10" t="s">
        <v>126</v>
      </c>
      <c r="H17" s="12" t="s">
        <v>14</v>
      </c>
      <c r="I17" s="10" t="s">
        <v>127</v>
      </c>
      <c r="J17" s="10" t="s">
        <v>44</v>
      </c>
    </row>
    <row r="18" customFormat="false" ht="26.85" hidden="false" customHeight="false" outlineLevel="0" collapsed="false">
      <c r="A18" s="6" t="s">
        <v>128</v>
      </c>
      <c r="B18" s="7" t="s">
        <v>129</v>
      </c>
      <c r="C18" s="7" t="s">
        <v>130</v>
      </c>
      <c r="D18" s="8" t="s">
        <v>39</v>
      </c>
      <c r="E18" s="7" t="s">
        <v>131</v>
      </c>
      <c r="F18" s="7" t="s">
        <v>132</v>
      </c>
      <c r="G18" s="7" t="s">
        <v>133</v>
      </c>
      <c r="H18" s="9" t="s">
        <v>12</v>
      </c>
      <c r="I18" s="7" t="s">
        <v>134</v>
      </c>
      <c r="J18" s="7" t="s">
        <v>44</v>
      </c>
    </row>
    <row r="19" customFormat="false" ht="26.85" hidden="false" customHeight="false" outlineLevel="0" collapsed="false">
      <c r="A19" s="6" t="s">
        <v>135</v>
      </c>
      <c r="B19" s="10" t="s">
        <v>129</v>
      </c>
      <c r="C19" s="10" t="s">
        <v>136</v>
      </c>
      <c r="D19" s="11" t="s">
        <v>71</v>
      </c>
      <c r="E19" s="10" t="s">
        <v>137</v>
      </c>
      <c r="F19" s="10" t="s">
        <v>138</v>
      </c>
      <c r="G19" s="10" t="s">
        <v>139</v>
      </c>
      <c r="H19" s="13" t="s">
        <v>16</v>
      </c>
      <c r="I19" s="10" t="s">
        <v>140</v>
      </c>
      <c r="J19" s="10" t="s">
        <v>44</v>
      </c>
    </row>
    <row r="20" customFormat="false" ht="26.85" hidden="false" customHeight="false" outlineLevel="0" collapsed="false">
      <c r="A20" s="6" t="s">
        <v>141</v>
      </c>
      <c r="B20" s="7" t="s">
        <v>129</v>
      </c>
      <c r="C20" s="7" t="s">
        <v>142</v>
      </c>
      <c r="D20" s="11" t="s">
        <v>71</v>
      </c>
      <c r="E20" s="7" t="s">
        <v>143</v>
      </c>
      <c r="F20" s="7" t="s">
        <v>144</v>
      </c>
      <c r="G20" s="7" t="s">
        <v>145</v>
      </c>
      <c r="H20" s="13" t="s">
        <v>16</v>
      </c>
      <c r="I20" s="7" t="s">
        <v>140</v>
      </c>
      <c r="J20" s="7" t="s">
        <v>44</v>
      </c>
    </row>
    <row r="21" customFormat="false" ht="26.85" hidden="false" customHeight="false" outlineLevel="0" collapsed="false">
      <c r="A21" s="6" t="s">
        <v>146</v>
      </c>
      <c r="B21" s="10" t="s">
        <v>147</v>
      </c>
      <c r="C21" s="10" t="s">
        <v>148</v>
      </c>
      <c r="D21" s="8" t="s">
        <v>39</v>
      </c>
      <c r="E21" s="10" t="s">
        <v>149</v>
      </c>
      <c r="F21" s="10" t="s">
        <v>150</v>
      </c>
      <c r="G21" s="10" t="s">
        <v>151</v>
      </c>
      <c r="H21" s="13" t="s">
        <v>16</v>
      </c>
      <c r="I21" s="10" t="s">
        <v>152</v>
      </c>
      <c r="J21" s="10" t="s">
        <v>44</v>
      </c>
    </row>
    <row r="22" customFormat="false" ht="26.85" hidden="false" customHeight="false" outlineLevel="0" collapsed="false">
      <c r="A22" s="6" t="s">
        <v>153</v>
      </c>
      <c r="B22" s="7" t="s">
        <v>147</v>
      </c>
      <c r="C22" s="7" t="s">
        <v>148</v>
      </c>
      <c r="D22" s="8" t="s">
        <v>39</v>
      </c>
      <c r="E22" s="7" t="s">
        <v>154</v>
      </c>
      <c r="F22" s="7" t="s">
        <v>155</v>
      </c>
      <c r="G22" s="7" t="s">
        <v>156</v>
      </c>
      <c r="H22" s="13" t="s">
        <v>16</v>
      </c>
      <c r="I22" s="7" t="s">
        <v>152</v>
      </c>
      <c r="J22" s="7" t="s">
        <v>44</v>
      </c>
    </row>
    <row r="23" customFormat="false" ht="26.85" hidden="false" customHeight="false" outlineLevel="0" collapsed="false">
      <c r="A23" s="6" t="s">
        <v>157</v>
      </c>
      <c r="B23" s="10" t="s">
        <v>147</v>
      </c>
      <c r="C23" s="10" t="s">
        <v>148</v>
      </c>
      <c r="D23" s="8" t="s">
        <v>39</v>
      </c>
      <c r="E23" s="10" t="s">
        <v>158</v>
      </c>
      <c r="F23" s="10" t="s">
        <v>159</v>
      </c>
      <c r="G23" s="10" t="s">
        <v>160</v>
      </c>
      <c r="H23" s="13" t="s">
        <v>16</v>
      </c>
      <c r="I23" s="10" t="s">
        <v>152</v>
      </c>
      <c r="J23" s="10" t="s">
        <v>44</v>
      </c>
    </row>
    <row r="24" customFormat="false" ht="26.85" hidden="false" customHeight="false" outlineLevel="0" collapsed="false">
      <c r="A24" s="6" t="s">
        <v>161</v>
      </c>
      <c r="B24" s="7" t="s">
        <v>147</v>
      </c>
      <c r="C24" s="7" t="s">
        <v>148</v>
      </c>
      <c r="D24" s="11" t="s">
        <v>71</v>
      </c>
      <c r="E24" s="7" t="s">
        <v>162</v>
      </c>
      <c r="F24" s="7" t="s">
        <v>163</v>
      </c>
      <c r="G24" s="7" t="s">
        <v>164</v>
      </c>
      <c r="H24" s="13" t="s">
        <v>16</v>
      </c>
      <c r="I24" s="7" t="s">
        <v>152</v>
      </c>
      <c r="J24" s="7" t="s">
        <v>44</v>
      </c>
    </row>
    <row r="25" customFormat="false" ht="26.85" hidden="false" customHeight="false" outlineLevel="0" collapsed="false">
      <c r="A25" s="6" t="s">
        <v>165</v>
      </c>
      <c r="B25" s="10" t="s">
        <v>166</v>
      </c>
      <c r="C25" s="10" t="s">
        <v>167</v>
      </c>
      <c r="D25" s="8" t="s">
        <v>39</v>
      </c>
      <c r="E25" s="10" t="s">
        <v>168</v>
      </c>
      <c r="F25" s="10" t="s">
        <v>169</v>
      </c>
      <c r="G25" s="10" t="s">
        <v>170</v>
      </c>
      <c r="H25" s="13" t="s">
        <v>16</v>
      </c>
      <c r="I25" s="10" t="s">
        <v>171</v>
      </c>
      <c r="J25" s="10" t="s">
        <v>44</v>
      </c>
    </row>
    <row r="26" customFormat="false" ht="26.85" hidden="false" customHeight="false" outlineLevel="0" collapsed="false">
      <c r="A26" s="6" t="s">
        <v>172</v>
      </c>
      <c r="B26" s="7" t="s">
        <v>173</v>
      </c>
      <c r="C26" s="7" t="s">
        <v>54</v>
      </c>
      <c r="D26" s="11" t="s">
        <v>71</v>
      </c>
      <c r="E26" s="7" t="s">
        <v>174</v>
      </c>
      <c r="F26" s="7" t="s">
        <v>175</v>
      </c>
      <c r="G26" s="7" t="s">
        <v>176</v>
      </c>
      <c r="H26" s="13" t="s">
        <v>16</v>
      </c>
      <c r="I26" s="7" t="s">
        <v>140</v>
      </c>
      <c r="J26" s="7" t="s">
        <v>44</v>
      </c>
    </row>
    <row r="27" customFormat="false" ht="26.85" hidden="false" customHeight="false" outlineLevel="0" collapsed="false">
      <c r="A27" s="6" t="s">
        <v>177</v>
      </c>
      <c r="B27" s="10" t="s">
        <v>173</v>
      </c>
      <c r="C27" s="10" t="s">
        <v>65</v>
      </c>
      <c r="D27" s="11" t="s">
        <v>71</v>
      </c>
      <c r="E27" s="10" t="s">
        <v>178</v>
      </c>
      <c r="F27" s="10" t="s">
        <v>179</v>
      </c>
      <c r="G27" s="10" t="s">
        <v>180</v>
      </c>
      <c r="H27" s="13" t="s">
        <v>16</v>
      </c>
      <c r="I27" s="10" t="s">
        <v>140</v>
      </c>
      <c r="J27" s="10" t="s">
        <v>44</v>
      </c>
    </row>
    <row r="28" customFormat="false" ht="26.85" hidden="false" customHeight="false" outlineLevel="0" collapsed="false">
      <c r="A28" s="6" t="s">
        <v>181</v>
      </c>
      <c r="B28" s="7" t="s">
        <v>173</v>
      </c>
      <c r="C28" s="7" t="s">
        <v>90</v>
      </c>
      <c r="D28" s="11" t="s">
        <v>71</v>
      </c>
      <c r="E28" s="7" t="s">
        <v>182</v>
      </c>
      <c r="F28" s="7" t="s">
        <v>183</v>
      </c>
      <c r="G28" s="7" t="s">
        <v>184</v>
      </c>
      <c r="H28" s="13" t="s">
        <v>16</v>
      </c>
      <c r="I28" s="7" t="s">
        <v>140</v>
      </c>
      <c r="J28" s="7" t="s">
        <v>44</v>
      </c>
    </row>
    <row r="29" customFormat="false" ht="26.85" hidden="false" customHeight="false" outlineLevel="0" collapsed="false">
      <c r="A29" s="6" t="s">
        <v>185</v>
      </c>
      <c r="B29" s="10" t="s">
        <v>173</v>
      </c>
      <c r="C29" s="10" t="s">
        <v>186</v>
      </c>
      <c r="D29" s="11" t="s">
        <v>71</v>
      </c>
      <c r="E29" s="10" t="s">
        <v>187</v>
      </c>
      <c r="F29" s="10" t="s">
        <v>188</v>
      </c>
      <c r="G29" s="10" t="s">
        <v>189</v>
      </c>
      <c r="H29" s="13" t="s">
        <v>16</v>
      </c>
      <c r="I29" s="10" t="s">
        <v>140</v>
      </c>
      <c r="J29" s="10" t="s">
        <v>44</v>
      </c>
    </row>
    <row r="30" customFormat="false" ht="26.85" hidden="false" customHeight="false" outlineLevel="0" collapsed="false">
      <c r="A30" s="6" t="s">
        <v>190</v>
      </c>
      <c r="B30" s="7" t="s">
        <v>173</v>
      </c>
      <c r="C30" s="7" t="s">
        <v>186</v>
      </c>
      <c r="D30" s="11" t="s">
        <v>71</v>
      </c>
      <c r="E30" s="7" t="s">
        <v>191</v>
      </c>
      <c r="F30" s="7" t="s">
        <v>192</v>
      </c>
      <c r="G30" s="7" t="s">
        <v>193</v>
      </c>
      <c r="H30" s="13" t="s">
        <v>16</v>
      </c>
      <c r="I30" s="7" t="s">
        <v>140</v>
      </c>
      <c r="J30" s="7" t="s">
        <v>44</v>
      </c>
    </row>
    <row r="31" customFormat="false" ht="26.85" hidden="false" customHeight="false" outlineLevel="0" collapsed="false">
      <c r="A31" s="6" t="s">
        <v>194</v>
      </c>
      <c r="B31" s="10" t="s">
        <v>173</v>
      </c>
      <c r="C31" s="10" t="s">
        <v>195</v>
      </c>
      <c r="D31" s="8" t="s">
        <v>39</v>
      </c>
      <c r="E31" s="10" t="s">
        <v>143</v>
      </c>
      <c r="F31" s="10" t="s">
        <v>196</v>
      </c>
      <c r="G31" s="10" t="s">
        <v>197</v>
      </c>
      <c r="H31" s="13" t="s">
        <v>16</v>
      </c>
      <c r="I31" s="10" t="s">
        <v>140</v>
      </c>
      <c r="J31" s="10" t="s">
        <v>44</v>
      </c>
    </row>
    <row r="32" customFormat="false" ht="26.85" hidden="false" customHeight="false" outlineLevel="0" collapsed="false">
      <c r="A32" s="6" t="s">
        <v>198</v>
      </c>
      <c r="B32" s="7" t="s">
        <v>199</v>
      </c>
      <c r="C32" s="7" t="s">
        <v>200</v>
      </c>
      <c r="D32" s="8" t="s">
        <v>39</v>
      </c>
      <c r="E32" s="7" t="s">
        <v>201</v>
      </c>
      <c r="F32" s="7" t="s">
        <v>202</v>
      </c>
      <c r="G32" s="7" t="s">
        <v>203</v>
      </c>
      <c r="H32" s="14" t="s">
        <v>18</v>
      </c>
      <c r="I32" s="7" t="s">
        <v>204</v>
      </c>
      <c r="J32" s="7" t="s">
        <v>44</v>
      </c>
    </row>
    <row r="33" customFormat="false" ht="26.85" hidden="false" customHeight="false" outlineLevel="0" collapsed="false">
      <c r="A33" s="6" t="s">
        <v>205</v>
      </c>
      <c r="B33" s="10" t="s">
        <v>199</v>
      </c>
      <c r="C33" s="10" t="s">
        <v>206</v>
      </c>
      <c r="D33" s="11" t="s">
        <v>71</v>
      </c>
      <c r="E33" s="10" t="s">
        <v>207</v>
      </c>
      <c r="F33" s="10" t="s">
        <v>208</v>
      </c>
      <c r="G33" s="10" t="s">
        <v>209</v>
      </c>
      <c r="H33" s="14" t="s">
        <v>18</v>
      </c>
      <c r="I33" s="10" t="s">
        <v>204</v>
      </c>
      <c r="J33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7" min="6" style="0" width="46"/>
    <col collapsed="false" customWidth="true" hidden="false" outlineLevel="0" max="8" min="8" style="0" width="17"/>
    <col collapsed="false" customWidth="true" hidden="false" outlineLevel="0" max="9" min="9" style="0" width="30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customFormat="false" ht="26.85" hidden="false" customHeight="false" outlineLevel="0" collapsed="false">
      <c r="A2" s="6" t="s">
        <v>210</v>
      </c>
      <c r="B2" s="7" t="s">
        <v>211</v>
      </c>
      <c r="C2" s="7" t="s">
        <v>212</v>
      </c>
      <c r="D2" s="8" t="s">
        <v>39</v>
      </c>
      <c r="E2" s="7" t="s">
        <v>120</v>
      </c>
      <c r="F2" s="7" t="s">
        <v>213</v>
      </c>
      <c r="G2" s="7" t="s">
        <v>214</v>
      </c>
      <c r="H2" s="13" t="s">
        <v>16</v>
      </c>
      <c r="I2" s="7" t="s">
        <v>215</v>
      </c>
      <c r="J2" s="7" t="s">
        <v>44</v>
      </c>
    </row>
    <row r="3" customFormat="false" ht="26.85" hidden="false" customHeight="false" outlineLevel="0" collapsed="false">
      <c r="A3" s="6" t="s">
        <v>216</v>
      </c>
      <c r="B3" s="10" t="s">
        <v>217</v>
      </c>
      <c r="C3" s="10" t="s">
        <v>218</v>
      </c>
      <c r="D3" s="8" t="s">
        <v>39</v>
      </c>
      <c r="E3" s="10" t="s">
        <v>219</v>
      </c>
      <c r="F3" s="10" t="s">
        <v>220</v>
      </c>
      <c r="G3" s="10" t="s">
        <v>221</v>
      </c>
      <c r="H3" s="12" t="s">
        <v>14</v>
      </c>
      <c r="I3" s="10" t="s">
        <v>222</v>
      </c>
      <c r="J3" s="10" t="s">
        <v>44</v>
      </c>
    </row>
    <row r="4" customFormat="false" ht="26.85" hidden="false" customHeight="false" outlineLevel="0" collapsed="false">
      <c r="A4" s="6" t="s">
        <v>223</v>
      </c>
      <c r="B4" s="7" t="s">
        <v>224</v>
      </c>
      <c r="C4" s="7" t="s">
        <v>225</v>
      </c>
      <c r="D4" s="11" t="s">
        <v>71</v>
      </c>
      <c r="E4" s="7" t="s">
        <v>226</v>
      </c>
      <c r="F4" s="7" t="s">
        <v>227</v>
      </c>
      <c r="G4" s="7" t="s">
        <v>228</v>
      </c>
      <c r="H4" s="14" t="s">
        <v>18</v>
      </c>
      <c r="I4" s="7" t="s">
        <v>229</v>
      </c>
      <c r="J4" s="7" t="s">
        <v>44</v>
      </c>
    </row>
    <row r="5" customFormat="false" ht="26.85" hidden="false" customHeight="false" outlineLevel="0" collapsed="false">
      <c r="A5" s="6" t="s">
        <v>230</v>
      </c>
      <c r="B5" s="10" t="s">
        <v>231</v>
      </c>
      <c r="C5" s="10" t="s">
        <v>232</v>
      </c>
      <c r="D5" s="8" t="s">
        <v>39</v>
      </c>
      <c r="E5" s="10" t="s">
        <v>233</v>
      </c>
      <c r="F5" s="10" t="s">
        <v>234</v>
      </c>
      <c r="G5" s="10" t="s">
        <v>235</v>
      </c>
      <c r="H5" s="12" t="s">
        <v>14</v>
      </c>
      <c r="I5" s="10" t="s">
        <v>236</v>
      </c>
      <c r="J5" s="10" t="s">
        <v>44</v>
      </c>
    </row>
    <row r="6" customFormat="false" ht="26.85" hidden="false" customHeight="false" outlineLevel="0" collapsed="false">
      <c r="A6" s="6" t="s">
        <v>237</v>
      </c>
      <c r="B6" s="7" t="s">
        <v>231</v>
      </c>
      <c r="C6" s="7" t="s">
        <v>232</v>
      </c>
      <c r="D6" s="11" t="s">
        <v>71</v>
      </c>
      <c r="E6" s="7" t="s">
        <v>140</v>
      </c>
      <c r="F6" s="7" t="s">
        <v>238</v>
      </c>
      <c r="G6" s="7" t="s">
        <v>239</v>
      </c>
      <c r="H6" s="13" t="s">
        <v>16</v>
      </c>
      <c r="I6" s="7" t="s">
        <v>140</v>
      </c>
      <c r="J6" s="7" t="s">
        <v>44</v>
      </c>
    </row>
    <row r="7" customFormat="false" ht="26.85" hidden="false" customHeight="false" outlineLevel="0" collapsed="false">
      <c r="A7" s="6" t="s">
        <v>240</v>
      </c>
      <c r="B7" s="10" t="s">
        <v>241</v>
      </c>
      <c r="C7" s="10" t="s">
        <v>242</v>
      </c>
      <c r="D7" s="8" t="s">
        <v>39</v>
      </c>
      <c r="E7" s="10" t="s">
        <v>233</v>
      </c>
      <c r="F7" s="10" t="s">
        <v>243</v>
      </c>
      <c r="G7" s="10" t="s">
        <v>244</v>
      </c>
      <c r="H7" s="14" t="s">
        <v>18</v>
      </c>
      <c r="I7" s="10" t="s">
        <v>245</v>
      </c>
      <c r="J7" s="10" t="s">
        <v>44</v>
      </c>
    </row>
    <row r="8" customFormat="false" ht="26.85" hidden="false" customHeight="false" outlineLevel="0" collapsed="false">
      <c r="A8" s="6" t="s">
        <v>246</v>
      </c>
      <c r="B8" s="7" t="s">
        <v>247</v>
      </c>
      <c r="C8" s="7" t="s">
        <v>242</v>
      </c>
      <c r="D8" s="8" t="s">
        <v>39</v>
      </c>
      <c r="E8" s="7" t="s">
        <v>248</v>
      </c>
      <c r="F8" s="7" t="s">
        <v>249</v>
      </c>
      <c r="G8" s="7" t="s">
        <v>250</v>
      </c>
      <c r="H8" s="9" t="s">
        <v>12</v>
      </c>
      <c r="I8" s="7" t="s">
        <v>251</v>
      </c>
      <c r="J8" s="7" t="s">
        <v>44</v>
      </c>
    </row>
    <row r="9" customFormat="false" ht="26.85" hidden="false" customHeight="false" outlineLevel="0" collapsed="false">
      <c r="A9" s="6" t="s">
        <v>252</v>
      </c>
      <c r="B9" s="10" t="s">
        <v>241</v>
      </c>
      <c r="C9" s="10" t="s">
        <v>242</v>
      </c>
      <c r="D9" s="11" t="s">
        <v>71</v>
      </c>
      <c r="E9" s="10" t="s">
        <v>140</v>
      </c>
      <c r="F9" s="10" t="s">
        <v>253</v>
      </c>
      <c r="G9" s="10" t="s">
        <v>254</v>
      </c>
      <c r="H9" s="13" t="s">
        <v>16</v>
      </c>
      <c r="I9" s="10" t="s">
        <v>140</v>
      </c>
      <c r="J9" s="10" t="s">
        <v>44</v>
      </c>
    </row>
    <row r="10" customFormat="false" ht="26.85" hidden="false" customHeight="false" outlineLevel="0" collapsed="false">
      <c r="A10" s="6" t="s">
        <v>255</v>
      </c>
      <c r="B10" s="7" t="s">
        <v>256</v>
      </c>
      <c r="C10" s="7" t="s">
        <v>257</v>
      </c>
      <c r="D10" s="8" t="s">
        <v>39</v>
      </c>
      <c r="E10" s="7" t="s">
        <v>258</v>
      </c>
      <c r="F10" s="7" t="s">
        <v>259</v>
      </c>
      <c r="G10" s="7" t="s">
        <v>260</v>
      </c>
      <c r="H10" s="13" t="s">
        <v>16</v>
      </c>
      <c r="I10" s="7" t="s">
        <v>140</v>
      </c>
      <c r="J10" s="7" t="s">
        <v>44</v>
      </c>
    </row>
    <row r="11" customFormat="false" ht="26.85" hidden="false" customHeight="false" outlineLevel="0" collapsed="false">
      <c r="A11" s="6" t="s">
        <v>261</v>
      </c>
      <c r="B11" s="10" t="s">
        <v>262</v>
      </c>
      <c r="C11" s="10" t="s">
        <v>263</v>
      </c>
      <c r="D11" s="8" t="s">
        <v>39</v>
      </c>
      <c r="E11" s="10" t="s">
        <v>264</v>
      </c>
      <c r="F11" s="10" t="s">
        <v>265</v>
      </c>
      <c r="G11" s="10" t="s">
        <v>266</v>
      </c>
      <c r="H11" s="14" t="s">
        <v>18</v>
      </c>
      <c r="I11" s="10" t="s">
        <v>267</v>
      </c>
      <c r="J11" s="10" t="s">
        <v>44</v>
      </c>
    </row>
    <row r="12" customFormat="false" ht="26.85" hidden="false" customHeight="false" outlineLevel="0" collapsed="false">
      <c r="A12" s="6" t="s">
        <v>268</v>
      </c>
      <c r="B12" s="7" t="s">
        <v>262</v>
      </c>
      <c r="C12" s="7" t="s">
        <v>269</v>
      </c>
      <c r="D12" s="8" t="s">
        <v>39</v>
      </c>
      <c r="E12" s="7" t="s">
        <v>270</v>
      </c>
      <c r="F12" s="7" t="s">
        <v>271</v>
      </c>
      <c r="G12" s="7" t="s">
        <v>272</v>
      </c>
      <c r="H12" s="12" t="s">
        <v>14</v>
      </c>
      <c r="I12" s="7" t="s">
        <v>273</v>
      </c>
      <c r="J12" s="7" t="s">
        <v>44</v>
      </c>
    </row>
    <row r="13" customFormat="false" ht="26.85" hidden="false" customHeight="false" outlineLevel="0" collapsed="false">
      <c r="A13" s="6" t="s">
        <v>274</v>
      </c>
      <c r="B13" s="10" t="s">
        <v>262</v>
      </c>
      <c r="C13" s="10" t="s">
        <v>275</v>
      </c>
      <c r="D13" s="11" t="s">
        <v>71</v>
      </c>
      <c r="E13" s="10" t="s">
        <v>276</v>
      </c>
      <c r="F13" s="10" t="s">
        <v>277</v>
      </c>
      <c r="G13" s="10" t="s">
        <v>278</v>
      </c>
      <c r="H13" s="14" t="s">
        <v>18</v>
      </c>
      <c r="I13" s="10" t="s">
        <v>279</v>
      </c>
      <c r="J13" s="10" t="s">
        <v>44</v>
      </c>
    </row>
    <row r="14" customFormat="false" ht="26.85" hidden="false" customHeight="false" outlineLevel="0" collapsed="false">
      <c r="A14" s="6" t="s">
        <v>280</v>
      </c>
      <c r="B14" s="7" t="s">
        <v>281</v>
      </c>
      <c r="C14" s="7" t="s">
        <v>275</v>
      </c>
      <c r="D14" s="11" t="s">
        <v>71</v>
      </c>
      <c r="E14" s="7" t="s">
        <v>282</v>
      </c>
      <c r="F14" s="7" t="s">
        <v>283</v>
      </c>
      <c r="G14" s="7" t="s">
        <v>284</v>
      </c>
      <c r="H14" s="12" t="s">
        <v>14</v>
      </c>
      <c r="I14" s="7" t="s">
        <v>285</v>
      </c>
      <c r="J14" s="7" t="s">
        <v>44</v>
      </c>
    </row>
    <row r="15" customFormat="false" ht="26.85" hidden="false" customHeight="false" outlineLevel="0" collapsed="false">
      <c r="A15" s="6" t="s">
        <v>286</v>
      </c>
      <c r="B15" s="10" t="s">
        <v>287</v>
      </c>
      <c r="C15" s="10" t="s">
        <v>288</v>
      </c>
      <c r="D15" s="8" t="s">
        <v>39</v>
      </c>
      <c r="E15" s="10" t="s">
        <v>289</v>
      </c>
      <c r="F15" s="10" t="s">
        <v>290</v>
      </c>
      <c r="G15" s="10" t="s">
        <v>291</v>
      </c>
      <c r="H15" s="9" t="s">
        <v>12</v>
      </c>
      <c r="I15" s="10" t="s">
        <v>292</v>
      </c>
      <c r="J15" s="10" t="s">
        <v>44</v>
      </c>
    </row>
    <row r="16" customFormat="false" ht="26.85" hidden="false" customHeight="false" outlineLevel="0" collapsed="false">
      <c r="A16" s="6" t="s">
        <v>293</v>
      </c>
      <c r="B16" s="7" t="s">
        <v>287</v>
      </c>
      <c r="C16" s="7" t="s">
        <v>294</v>
      </c>
      <c r="D16" s="8" t="s">
        <v>39</v>
      </c>
      <c r="E16" s="7" t="s">
        <v>140</v>
      </c>
      <c r="F16" s="7" t="s">
        <v>295</v>
      </c>
      <c r="G16" s="7" t="s">
        <v>296</v>
      </c>
      <c r="H16" s="9" t="s">
        <v>10</v>
      </c>
      <c r="I16" s="7" t="s">
        <v>88</v>
      </c>
      <c r="J16" s="7" t="s">
        <v>44</v>
      </c>
    </row>
    <row r="17" customFormat="false" ht="26.85" hidden="false" customHeight="false" outlineLevel="0" collapsed="false">
      <c r="A17" s="6" t="s">
        <v>297</v>
      </c>
      <c r="B17" s="10" t="s">
        <v>298</v>
      </c>
      <c r="C17" s="10" t="s">
        <v>299</v>
      </c>
      <c r="D17" s="15" t="s">
        <v>300</v>
      </c>
      <c r="E17" s="10" t="s">
        <v>301</v>
      </c>
      <c r="F17" s="10" t="s">
        <v>302</v>
      </c>
      <c r="G17" s="10" t="s">
        <v>303</v>
      </c>
      <c r="H17" s="14" t="s">
        <v>18</v>
      </c>
      <c r="I17" s="10" t="s">
        <v>140</v>
      </c>
      <c r="J17" s="10" t="s">
        <v>44</v>
      </c>
    </row>
    <row r="18" customFormat="false" ht="26.85" hidden="false" customHeight="false" outlineLevel="0" collapsed="false">
      <c r="A18" s="6" t="s">
        <v>304</v>
      </c>
      <c r="B18" s="7" t="s">
        <v>305</v>
      </c>
      <c r="C18" s="7" t="s">
        <v>306</v>
      </c>
      <c r="D18" s="8" t="s">
        <v>39</v>
      </c>
      <c r="E18" s="7" t="s">
        <v>307</v>
      </c>
      <c r="F18" s="7" t="s">
        <v>308</v>
      </c>
      <c r="G18" s="7" t="s">
        <v>309</v>
      </c>
      <c r="H18" s="9" t="s">
        <v>10</v>
      </c>
      <c r="I18" s="7" t="s">
        <v>310</v>
      </c>
      <c r="J18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7" min="6" style="0" width="46"/>
    <col collapsed="false" customWidth="true" hidden="false" outlineLevel="0" max="8" min="8" style="0" width="17"/>
    <col collapsed="false" customWidth="true" hidden="false" outlineLevel="0" max="9" min="9" style="0" width="30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customFormat="false" ht="26.85" hidden="false" customHeight="false" outlineLevel="0" collapsed="false">
      <c r="A2" s="6" t="s">
        <v>311</v>
      </c>
      <c r="B2" s="7" t="s">
        <v>312</v>
      </c>
      <c r="C2" s="7" t="s">
        <v>313</v>
      </c>
      <c r="D2" s="8" t="s">
        <v>39</v>
      </c>
      <c r="E2" s="7" t="s">
        <v>314</v>
      </c>
      <c r="F2" s="7" t="s">
        <v>315</v>
      </c>
      <c r="G2" s="7" t="s">
        <v>316</v>
      </c>
      <c r="H2" s="12" t="s">
        <v>14</v>
      </c>
      <c r="I2" s="7" t="s">
        <v>317</v>
      </c>
      <c r="J2" s="7" t="s">
        <v>44</v>
      </c>
    </row>
    <row r="3" customFormat="false" ht="26.85" hidden="false" customHeight="false" outlineLevel="0" collapsed="false">
      <c r="A3" s="6" t="s">
        <v>318</v>
      </c>
      <c r="B3" s="10" t="s">
        <v>312</v>
      </c>
      <c r="C3" s="10" t="s">
        <v>313</v>
      </c>
      <c r="D3" s="8" t="s">
        <v>39</v>
      </c>
      <c r="E3" s="10" t="s">
        <v>319</v>
      </c>
      <c r="F3" s="10" t="s">
        <v>320</v>
      </c>
      <c r="G3" s="10" t="s">
        <v>321</v>
      </c>
      <c r="H3" s="14" t="s">
        <v>18</v>
      </c>
      <c r="I3" s="10" t="s">
        <v>322</v>
      </c>
      <c r="J3" s="10" t="s">
        <v>44</v>
      </c>
    </row>
    <row r="4" customFormat="false" ht="26.85" hidden="false" customHeight="false" outlineLevel="0" collapsed="false">
      <c r="A4" s="6" t="s">
        <v>323</v>
      </c>
      <c r="B4" s="7" t="s">
        <v>312</v>
      </c>
      <c r="C4" s="7" t="s">
        <v>313</v>
      </c>
      <c r="D4" s="15" t="s">
        <v>300</v>
      </c>
      <c r="E4" s="7" t="s">
        <v>324</v>
      </c>
      <c r="F4" s="7" t="s">
        <v>325</v>
      </c>
      <c r="G4" s="7" t="s">
        <v>326</v>
      </c>
      <c r="H4" s="9" t="s">
        <v>10</v>
      </c>
      <c r="I4" s="7" t="s">
        <v>140</v>
      </c>
      <c r="J4" s="7" t="s">
        <v>44</v>
      </c>
    </row>
    <row r="5" customFormat="false" ht="26.85" hidden="false" customHeight="false" outlineLevel="0" collapsed="false">
      <c r="A5" s="6" t="s">
        <v>327</v>
      </c>
      <c r="B5" s="10" t="s">
        <v>328</v>
      </c>
      <c r="C5" s="10" t="s">
        <v>329</v>
      </c>
      <c r="D5" s="8" t="s">
        <v>39</v>
      </c>
      <c r="E5" s="10" t="s">
        <v>319</v>
      </c>
      <c r="F5" s="10" t="s">
        <v>330</v>
      </c>
      <c r="G5" s="10" t="s">
        <v>331</v>
      </c>
      <c r="H5" s="14" t="s">
        <v>18</v>
      </c>
      <c r="I5" s="10" t="s">
        <v>328</v>
      </c>
      <c r="J5" s="10" t="s">
        <v>44</v>
      </c>
    </row>
    <row r="6" customFormat="false" ht="26.85" hidden="false" customHeight="false" outlineLevel="0" collapsed="false">
      <c r="A6" s="6" t="s">
        <v>332</v>
      </c>
      <c r="B6" s="7" t="s">
        <v>328</v>
      </c>
      <c r="C6" s="7" t="s">
        <v>333</v>
      </c>
      <c r="D6" s="11" t="s">
        <v>71</v>
      </c>
      <c r="E6" s="7" t="s">
        <v>334</v>
      </c>
      <c r="F6" s="7" t="s">
        <v>335</v>
      </c>
      <c r="G6" s="7" t="s">
        <v>336</v>
      </c>
      <c r="H6" s="9" t="s">
        <v>12</v>
      </c>
      <c r="I6" s="7" t="s">
        <v>337</v>
      </c>
      <c r="J6" s="7" t="s">
        <v>44</v>
      </c>
    </row>
    <row r="7" customFormat="false" ht="26.85" hidden="false" customHeight="false" outlineLevel="0" collapsed="false">
      <c r="A7" s="6" t="s">
        <v>338</v>
      </c>
      <c r="B7" s="10" t="s">
        <v>339</v>
      </c>
      <c r="C7" s="10" t="s">
        <v>340</v>
      </c>
      <c r="D7" s="8" t="s">
        <v>39</v>
      </c>
      <c r="E7" s="10" t="s">
        <v>341</v>
      </c>
      <c r="F7" s="10" t="s">
        <v>342</v>
      </c>
      <c r="G7" s="10" t="s">
        <v>343</v>
      </c>
      <c r="H7" s="9" t="s">
        <v>10</v>
      </c>
      <c r="I7" s="10" t="s">
        <v>344</v>
      </c>
      <c r="J7" s="10" t="s">
        <v>44</v>
      </c>
    </row>
    <row r="8" customFormat="false" ht="26.85" hidden="false" customHeight="false" outlineLevel="0" collapsed="false">
      <c r="A8" s="6" t="s">
        <v>345</v>
      </c>
      <c r="B8" s="7" t="s">
        <v>339</v>
      </c>
      <c r="C8" s="7" t="s">
        <v>340</v>
      </c>
      <c r="D8" s="11" t="s">
        <v>71</v>
      </c>
      <c r="E8" s="7" t="s">
        <v>140</v>
      </c>
      <c r="F8" s="7" t="s">
        <v>346</v>
      </c>
      <c r="G8" s="7" t="s">
        <v>347</v>
      </c>
      <c r="H8" s="13" t="s">
        <v>16</v>
      </c>
      <c r="I8" s="7" t="s">
        <v>140</v>
      </c>
      <c r="J8" s="7" t="s">
        <v>44</v>
      </c>
    </row>
    <row r="9" customFormat="false" ht="26.85" hidden="false" customHeight="false" outlineLevel="0" collapsed="false">
      <c r="A9" s="6" t="s">
        <v>348</v>
      </c>
      <c r="B9" s="10" t="s">
        <v>339</v>
      </c>
      <c r="C9" s="10" t="s">
        <v>349</v>
      </c>
      <c r="D9" s="11" t="s">
        <v>71</v>
      </c>
      <c r="E9" s="10" t="s">
        <v>350</v>
      </c>
      <c r="F9" s="10" t="s">
        <v>351</v>
      </c>
      <c r="G9" s="10" t="s">
        <v>352</v>
      </c>
      <c r="H9" s="13" t="s">
        <v>16</v>
      </c>
      <c r="I9" s="10" t="s">
        <v>140</v>
      </c>
      <c r="J9" s="10" t="s">
        <v>44</v>
      </c>
    </row>
    <row r="10" customFormat="false" ht="26.85" hidden="false" customHeight="false" outlineLevel="0" collapsed="false">
      <c r="A10" s="6" t="s">
        <v>353</v>
      </c>
      <c r="B10" s="7" t="s">
        <v>339</v>
      </c>
      <c r="C10" s="7" t="s">
        <v>354</v>
      </c>
      <c r="D10" s="15" t="s">
        <v>300</v>
      </c>
      <c r="E10" s="7" t="s">
        <v>355</v>
      </c>
      <c r="F10" s="7" t="s">
        <v>356</v>
      </c>
      <c r="G10" s="7" t="s">
        <v>357</v>
      </c>
      <c r="H10" s="14" t="s">
        <v>18</v>
      </c>
      <c r="I10" s="7" t="s">
        <v>140</v>
      </c>
      <c r="J10" s="7" t="s">
        <v>44</v>
      </c>
    </row>
    <row r="11" customFormat="false" ht="26.85" hidden="false" customHeight="false" outlineLevel="0" collapsed="false">
      <c r="A11" s="6" t="s">
        <v>358</v>
      </c>
      <c r="B11" s="10" t="s">
        <v>359</v>
      </c>
      <c r="C11" s="10" t="s">
        <v>360</v>
      </c>
      <c r="D11" s="11" t="s">
        <v>71</v>
      </c>
      <c r="E11" s="10" t="s">
        <v>319</v>
      </c>
      <c r="F11" s="10" t="s">
        <v>361</v>
      </c>
      <c r="G11" s="10" t="s">
        <v>362</v>
      </c>
      <c r="H11" s="14" t="s">
        <v>18</v>
      </c>
      <c r="I11" s="10" t="s">
        <v>363</v>
      </c>
      <c r="J11" s="10" t="s">
        <v>44</v>
      </c>
    </row>
    <row r="12" customFormat="false" ht="26.85" hidden="false" customHeight="false" outlineLevel="0" collapsed="false">
      <c r="A12" s="6" t="s">
        <v>364</v>
      </c>
      <c r="B12" s="7" t="s">
        <v>365</v>
      </c>
      <c r="C12" s="7" t="s">
        <v>366</v>
      </c>
      <c r="D12" s="11" t="s">
        <v>71</v>
      </c>
      <c r="E12" s="7" t="s">
        <v>367</v>
      </c>
      <c r="F12" s="7" t="s">
        <v>368</v>
      </c>
      <c r="G12" s="7" t="s">
        <v>369</v>
      </c>
      <c r="H12" s="13" t="s">
        <v>16</v>
      </c>
      <c r="I12" s="7" t="s">
        <v>370</v>
      </c>
      <c r="J12" s="7" t="s">
        <v>44</v>
      </c>
    </row>
    <row r="13" customFormat="false" ht="26.85" hidden="false" customHeight="false" outlineLevel="0" collapsed="false">
      <c r="A13" s="6" t="s">
        <v>371</v>
      </c>
      <c r="B13" s="10" t="s">
        <v>372</v>
      </c>
      <c r="C13" s="10" t="s">
        <v>373</v>
      </c>
      <c r="D13" s="11" t="s">
        <v>71</v>
      </c>
      <c r="E13" s="10" t="s">
        <v>233</v>
      </c>
      <c r="F13" s="10" t="s">
        <v>374</v>
      </c>
      <c r="G13" s="10" t="s">
        <v>375</v>
      </c>
      <c r="H13" s="12" t="s">
        <v>14</v>
      </c>
      <c r="I13" s="10" t="s">
        <v>279</v>
      </c>
      <c r="J13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7" min="6" style="0" width="46"/>
    <col collapsed="false" customWidth="true" hidden="false" outlineLevel="0" max="8" min="8" style="0" width="17"/>
    <col collapsed="false" customWidth="true" hidden="false" outlineLevel="0" max="9" min="9" style="0" width="30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customFormat="false" ht="26.85" hidden="false" customHeight="false" outlineLevel="0" collapsed="false">
      <c r="A2" s="6" t="s">
        <v>376</v>
      </c>
      <c r="B2" s="7" t="s">
        <v>377</v>
      </c>
      <c r="C2" s="7" t="s">
        <v>186</v>
      </c>
      <c r="D2" s="11" t="s">
        <v>71</v>
      </c>
      <c r="E2" s="7" t="s">
        <v>378</v>
      </c>
      <c r="F2" s="7" t="s">
        <v>379</v>
      </c>
      <c r="G2" s="7" t="s">
        <v>380</v>
      </c>
      <c r="H2" s="13" t="s">
        <v>16</v>
      </c>
      <c r="I2" s="7" t="s">
        <v>140</v>
      </c>
      <c r="J2" s="7" t="s">
        <v>44</v>
      </c>
    </row>
    <row r="3" customFormat="false" ht="26.85" hidden="false" customHeight="false" outlineLevel="0" collapsed="false">
      <c r="A3" s="6" t="s">
        <v>381</v>
      </c>
      <c r="B3" s="10" t="s">
        <v>382</v>
      </c>
      <c r="C3" s="10" t="s">
        <v>383</v>
      </c>
      <c r="D3" s="8" t="s">
        <v>39</v>
      </c>
      <c r="E3" s="10" t="s">
        <v>384</v>
      </c>
      <c r="F3" s="10" t="s">
        <v>385</v>
      </c>
      <c r="G3" s="10" t="s">
        <v>386</v>
      </c>
      <c r="H3" s="13" t="s">
        <v>16</v>
      </c>
      <c r="I3" s="10" t="s">
        <v>387</v>
      </c>
      <c r="J3" s="10" t="s">
        <v>44</v>
      </c>
    </row>
    <row r="4" customFormat="false" ht="26.85" hidden="false" customHeight="false" outlineLevel="0" collapsed="false">
      <c r="A4" s="6" t="s">
        <v>388</v>
      </c>
      <c r="B4" s="7" t="s">
        <v>191</v>
      </c>
      <c r="C4" s="7" t="s">
        <v>186</v>
      </c>
      <c r="D4" s="11" t="s">
        <v>71</v>
      </c>
      <c r="E4" s="7" t="s">
        <v>140</v>
      </c>
      <c r="F4" s="7" t="s">
        <v>389</v>
      </c>
      <c r="G4" s="7" t="s">
        <v>390</v>
      </c>
      <c r="H4" s="13" t="s">
        <v>16</v>
      </c>
      <c r="I4" s="7" t="s">
        <v>140</v>
      </c>
      <c r="J4" s="7" t="s">
        <v>44</v>
      </c>
    </row>
    <row r="5" customFormat="false" ht="26.85" hidden="false" customHeight="false" outlineLevel="0" collapsed="false">
      <c r="A5" s="6" t="s">
        <v>391</v>
      </c>
      <c r="B5" s="10" t="s">
        <v>392</v>
      </c>
      <c r="C5" s="10" t="s">
        <v>393</v>
      </c>
      <c r="D5" s="8" t="s">
        <v>39</v>
      </c>
      <c r="E5" s="10" t="s">
        <v>394</v>
      </c>
      <c r="F5" s="10" t="s">
        <v>395</v>
      </c>
      <c r="G5" s="10" t="s">
        <v>396</v>
      </c>
      <c r="H5" s="12" t="s">
        <v>14</v>
      </c>
      <c r="I5" s="10" t="s">
        <v>397</v>
      </c>
      <c r="J5" s="10" t="s">
        <v>44</v>
      </c>
    </row>
    <row r="6" customFormat="false" ht="26.85" hidden="false" customHeight="false" outlineLevel="0" collapsed="false">
      <c r="A6" s="6" t="s">
        <v>398</v>
      </c>
      <c r="B6" s="7" t="s">
        <v>392</v>
      </c>
      <c r="C6" s="7" t="s">
        <v>393</v>
      </c>
      <c r="D6" s="8" t="s">
        <v>39</v>
      </c>
      <c r="E6" s="7" t="s">
        <v>140</v>
      </c>
      <c r="F6" s="7" t="s">
        <v>399</v>
      </c>
      <c r="G6" s="7" t="s">
        <v>400</v>
      </c>
      <c r="H6" s="9" t="s">
        <v>10</v>
      </c>
      <c r="I6" s="7" t="s">
        <v>88</v>
      </c>
      <c r="J6" s="7" t="s">
        <v>44</v>
      </c>
    </row>
    <row r="7" customFormat="false" ht="26.85" hidden="false" customHeight="false" outlineLevel="0" collapsed="false">
      <c r="A7" s="6" t="s">
        <v>401</v>
      </c>
      <c r="B7" s="10" t="s">
        <v>392</v>
      </c>
      <c r="C7" s="10" t="s">
        <v>393</v>
      </c>
      <c r="D7" s="11" t="s">
        <v>71</v>
      </c>
      <c r="E7" s="10" t="s">
        <v>402</v>
      </c>
      <c r="F7" s="10" t="s">
        <v>403</v>
      </c>
      <c r="G7" s="10" t="s">
        <v>404</v>
      </c>
      <c r="H7" s="13" t="s">
        <v>16</v>
      </c>
      <c r="I7" s="10" t="s">
        <v>140</v>
      </c>
      <c r="J7" s="10" t="s">
        <v>44</v>
      </c>
    </row>
    <row r="8" customFormat="false" ht="26.85" hidden="false" customHeight="false" outlineLevel="0" collapsed="false">
      <c r="A8" s="6" t="s">
        <v>405</v>
      </c>
      <c r="B8" s="7" t="s">
        <v>406</v>
      </c>
      <c r="C8" s="7" t="s">
        <v>407</v>
      </c>
      <c r="D8" s="8" t="s">
        <v>39</v>
      </c>
      <c r="E8" s="7" t="s">
        <v>140</v>
      </c>
      <c r="F8" s="7" t="s">
        <v>408</v>
      </c>
      <c r="G8" s="7" t="s">
        <v>409</v>
      </c>
      <c r="H8" s="13" t="s">
        <v>16</v>
      </c>
      <c r="I8" s="7" t="s">
        <v>140</v>
      </c>
      <c r="J8" s="7" t="s">
        <v>44</v>
      </c>
    </row>
    <row r="9" customFormat="false" ht="26.85" hidden="false" customHeight="false" outlineLevel="0" collapsed="false">
      <c r="A9" s="6" t="s">
        <v>410</v>
      </c>
      <c r="B9" s="10" t="s">
        <v>411</v>
      </c>
      <c r="C9" s="10" t="s">
        <v>84</v>
      </c>
      <c r="D9" s="8" t="s">
        <v>39</v>
      </c>
      <c r="E9" s="10" t="s">
        <v>412</v>
      </c>
      <c r="F9" s="10" t="s">
        <v>413</v>
      </c>
      <c r="G9" s="10" t="s">
        <v>414</v>
      </c>
      <c r="H9" s="14" t="s">
        <v>18</v>
      </c>
      <c r="I9" s="10" t="s">
        <v>140</v>
      </c>
      <c r="J9" s="10" t="s">
        <v>44</v>
      </c>
    </row>
    <row r="10" customFormat="false" ht="26.85" hidden="false" customHeight="false" outlineLevel="0" collapsed="false">
      <c r="A10" s="6" t="s">
        <v>415</v>
      </c>
      <c r="B10" s="7" t="s">
        <v>416</v>
      </c>
      <c r="C10" s="7" t="s">
        <v>417</v>
      </c>
      <c r="D10" s="8" t="s">
        <v>39</v>
      </c>
      <c r="E10" s="7" t="s">
        <v>418</v>
      </c>
      <c r="F10" s="7" t="s">
        <v>419</v>
      </c>
      <c r="G10" s="7" t="s">
        <v>420</v>
      </c>
      <c r="H10" s="14" t="s">
        <v>18</v>
      </c>
      <c r="I10" s="7" t="s">
        <v>421</v>
      </c>
      <c r="J10" s="7" t="s">
        <v>44</v>
      </c>
    </row>
    <row r="11" customFormat="false" ht="26.85" hidden="false" customHeight="false" outlineLevel="0" collapsed="false">
      <c r="A11" s="6" t="s">
        <v>422</v>
      </c>
      <c r="B11" s="10" t="s">
        <v>423</v>
      </c>
      <c r="C11" s="10" t="s">
        <v>424</v>
      </c>
      <c r="D11" s="11" t="s">
        <v>71</v>
      </c>
      <c r="E11" s="10" t="s">
        <v>425</v>
      </c>
      <c r="F11" s="10" t="s">
        <v>426</v>
      </c>
      <c r="G11" s="10" t="s">
        <v>427</v>
      </c>
      <c r="H11" s="14" t="s">
        <v>18</v>
      </c>
      <c r="I11" s="10" t="s">
        <v>428</v>
      </c>
      <c r="J11" s="10" t="s">
        <v>44</v>
      </c>
    </row>
    <row r="12" customFormat="false" ht="26.85" hidden="false" customHeight="false" outlineLevel="0" collapsed="false">
      <c r="A12" s="6" t="s">
        <v>429</v>
      </c>
      <c r="B12" s="7" t="s">
        <v>430</v>
      </c>
      <c r="C12" s="7" t="s">
        <v>431</v>
      </c>
      <c r="D12" s="8" t="s">
        <v>39</v>
      </c>
      <c r="E12" s="7" t="s">
        <v>432</v>
      </c>
      <c r="F12" s="7" t="s">
        <v>433</v>
      </c>
      <c r="G12" s="7" t="s">
        <v>434</v>
      </c>
      <c r="H12" s="14" t="s">
        <v>18</v>
      </c>
      <c r="I12" s="7" t="s">
        <v>140</v>
      </c>
      <c r="J12" s="7" t="s">
        <v>44</v>
      </c>
    </row>
    <row r="13" customFormat="false" ht="26.85" hidden="false" customHeight="false" outlineLevel="0" collapsed="false">
      <c r="A13" s="6" t="s">
        <v>435</v>
      </c>
      <c r="B13" s="10" t="s">
        <v>430</v>
      </c>
      <c r="C13" s="10" t="s">
        <v>436</v>
      </c>
      <c r="D13" s="8" t="s">
        <v>39</v>
      </c>
      <c r="E13" s="10" t="s">
        <v>437</v>
      </c>
      <c r="F13" s="10" t="s">
        <v>438</v>
      </c>
      <c r="G13" s="10" t="s">
        <v>439</v>
      </c>
      <c r="H13" s="16" t="s">
        <v>20</v>
      </c>
      <c r="I13" s="10" t="s">
        <v>440</v>
      </c>
      <c r="J13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7" t="s">
        <v>441</v>
      </c>
    </row>
    <row r="3" customFormat="false" ht="15" hidden="false" customHeight="false" outlineLevel="0" collapsed="false">
      <c r="A3" s="18" t="s">
        <v>442</v>
      </c>
      <c r="B3" s="18" t="s">
        <v>443</v>
      </c>
    </row>
    <row r="4" customFormat="false" ht="15" hidden="false" customHeight="false" outlineLevel="0" collapsed="false">
      <c r="A4" s="19" t="s">
        <v>444</v>
      </c>
      <c r="B4" s="18" t="n">
        <f aca="false">COUNTA('Тест-кейсы (Телеметрия)'!A2:A33)</f>
        <v>32</v>
      </c>
    </row>
    <row r="5" customFormat="false" ht="15" hidden="false" customHeight="false" outlineLevel="0" collapsed="false">
      <c r="A5" s="19" t="s">
        <v>445</v>
      </c>
      <c r="B5" s="18" t="n">
        <f aca="false">COUNTA('Тест-кейсы (Управление)'!A2:A18)</f>
        <v>17</v>
      </c>
    </row>
    <row r="6" customFormat="false" ht="15" hidden="false" customHeight="false" outlineLevel="0" collapsed="false">
      <c r="A6" s="19" t="s">
        <v>446</v>
      </c>
      <c r="B6" s="18" t="n">
        <f aca="false">COUNTA('Тест-кейсы (Сервисы)'!A2:A13)</f>
        <v>12</v>
      </c>
    </row>
    <row r="7" customFormat="false" ht="15" hidden="false" customHeight="false" outlineLevel="0" collapsed="false">
      <c r="A7" s="19" t="s">
        <v>447</v>
      </c>
      <c r="B7" s="18" t="n">
        <f aca="false">COUNTA('Тест-кейсы (Кросс-Приёмка)'!A2:A13)</f>
        <v>12</v>
      </c>
    </row>
    <row r="8" customFormat="false" ht="15" hidden="false" customHeight="false" outlineLevel="0" collapsed="false">
      <c r="A8" s="18" t="s">
        <v>448</v>
      </c>
      <c r="B8" s="18" t="n">
        <f aca="false">COUNTA('Тест-кейсы (Телеметрия)'!A2:A33)+COUNTA('Тест-кейсы (Управление)'!A2:A18)+COUNTA('Тест-кейсы (Сервисы)'!A2:A13)+COUNTA('Тест-кейсы (Кросс-Приёмка)'!A2:A13)</f>
        <v>73</v>
      </c>
    </row>
    <row r="9" customFormat="false" ht="15" hidden="false" customHeight="false" outlineLevel="0" collapsed="false">
      <c r="A9" s="19"/>
      <c r="B9" s="18"/>
    </row>
    <row r="10" customFormat="false" ht="15" hidden="false" customHeight="false" outlineLevel="0" collapsed="false">
      <c r="A10" s="18" t="s">
        <v>449</v>
      </c>
      <c r="B10" s="18"/>
    </row>
    <row r="11" customFormat="false" ht="15" hidden="false" customHeight="false" outlineLevel="0" collapsed="false">
      <c r="A11" s="19" t="s">
        <v>10</v>
      </c>
      <c r="B11" s="18" t="n">
        <f aca="false">COUNTIF('Тест-кейсы (Телеметрия)'!H2:H33,"Авто: юнит")+COUNTIF('Тест-кейсы (Управление)'!H2:H18,"Авто: юнит")+COUNTIF('Тест-кейсы (Сервисы)'!H2:H13,"Авто: юнит")+COUNTIF('Тест-кейсы (Кросс-Приёмка)'!H2:H13,"Авто: юнит")</f>
        <v>15</v>
      </c>
    </row>
    <row r="12" customFormat="false" ht="15" hidden="false" customHeight="false" outlineLevel="0" collapsed="false">
      <c r="A12" s="19" t="s">
        <v>12</v>
      </c>
      <c r="B12" s="18" t="n">
        <f aca="false">COUNTIF('Тест-кейсы (Телеметрия)'!H2:H33,"Авто: mock-AT")+COUNTIF('Тест-кейсы (Управление)'!H2:H18,"Авто: mock-AT")+COUNTIF('Тест-кейсы (Сервисы)'!H2:H13,"Авто: mock-AT")+COUNTIF('Тест-кейсы (Кросс-Приёмка)'!H2:H13,"Авто: mock-AT")</f>
        <v>4</v>
      </c>
    </row>
    <row r="13" customFormat="false" ht="15" hidden="false" customHeight="false" outlineLevel="0" collapsed="false">
      <c r="A13" s="19" t="s">
        <v>14</v>
      </c>
      <c r="B13" s="18" t="n">
        <f aca="false">COUNTIF('Тест-кейсы (Телеметрия)'!H2:H33,"Авто: mmcli")+COUNTIF('Тест-кейсы (Управление)'!H2:H18,"Авто: mmcli")+COUNTIF('Тест-кейсы (Сервисы)'!H2:H13,"Авто: mmcli")+COUNTIF('Тест-кейсы (Кросс-Приёмка)'!H2:H13,"Авто: mmcli")</f>
        <v>13</v>
      </c>
    </row>
    <row r="14" customFormat="false" ht="15" hidden="false" customHeight="false" outlineLevel="0" collapsed="false">
      <c r="A14" s="19" t="s">
        <v>16</v>
      </c>
      <c r="B14" s="18" t="n">
        <f aca="false">COUNTIF('Тест-кейсы (Телеметрия)'!H2:H33,"Авто: Playwright")+COUNTIF('Тест-кейсы (Управление)'!H2:H18,"Авто: Playwright")+COUNTIF('Тест-кейсы (Сервисы)'!H2:H13,"Авто: Playwright")+COUNTIF('Тест-кейсы (Кросс-Приёмка)'!H2:H13,"Авто: Playwright")</f>
        <v>25</v>
      </c>
    </row>
    <row r="15" customFormat="false" ht="15" hidden="false" customHeight="false" outlineLevel="0" collapsed="false">
      <c r="A15" s="19" t="s">
        <v>18</v>
      </c>
      <c r="B15" s="18" t="n">
        <f aca="false">COUNTIF('Тест-кейсы (Телеметрия)'!H2:H33,"Smoke (железо)")+COUNTIF('Тест-кейсы (Управление)'!H2:H18,"Smoke (железо)")+COUNTIF('Тест-кейсы (Сервисы)'!H2:H13,"Smoke (железо)")+COUNTIF('Тест-кейсы (Кросс-Приёмка)'!H2:H13,"Smoke (железо)")</f>
        <v>15</v>
      </c>
    </row>
    <row r="16" customFormat="false" ht="15" hidden="false" customHeight="false" outlineLevel="0" collapsed="false">
      <c r="A16" s="19" t="s">
        <v>20</v>
      </c>
      <c r="B16" s="18" t="n">
        <f aca="false">COUNTIF('Тест-кейсы (Телеметрия)'!H2:H33,"Ручной")+COUNTIF('Тест-кейсы (Управление)'!H2:H18,"Ручной")+COUNTIF('Тест-кейсы (Сервисы)'!H2:H13,"Ручной")+COUNTIF('Тест-кейсы (Кросс-Приёмка)'!H2:H13,"Ручной")</f>
        <v>1</v>
      </c>
    </row>
    <row r="17" customFormat="false" ht="15" hidden="false" customHeight="false" outlineLevel="0" collapsed="false">
      <c r="A17" s="19"/>
      <c r="B17" s="18"/>
    </row>
    <row r="18" customFormat="false" ht="15" hidden="false" customHeight="false" outlineLevel="0" collapsed="false">
      <c r="A18" s="18" t="s">
        <v>450</v>
      </c>
      <c r="B18" s="18"/>
    </row>
    <row r="19" customFormat="false" ht="15" hidden="false" customHeight="false" outlineLevel="0" collapsed="false">
      <c r="A19" s="19" t="s">
        <v>451</v>
      </c>
      <c r="B19" s="18" t="n">
        <f aca="false">COUNTIF('Тест-кейсы (Телеметрия)'!J2:J33,"Пройден")+COUNTIF('Тест-кейсы (Управление)'!J2:J18,"Пройден")+COUNTIF('Тест-кейсы (Сервисы)'!J2:J13,"Пройден")+COUNTIF('Тест-кейсы (Кросс-Приёмка)'!J2:J13,"Пройден")</f>
        <v>0</v>
      </c>
    </row>
    <row r="20" customFormat="false" ht="15" hidden="false" customHeight="false" outlineLevel="0" collapsed="false">
      <c r="A20" s="19" t="s">
        <v>452</v>
      </c>
      <c r="B20" s="18" t="n">
        <f aca="false">COUNTIF('Тест-кейсы (Телеметрия)'!J2:J33,"Провален")+COUNTIF('Тест-кейсы (Управление)'!J2:J18,"Провален")+COUNTIF('Тест-кейсы (Сервисы)'!J2:J13,"Провален")+COUNTIF('Тест-кейсы (Кросс-Приёмка)'!J2:J13,"Провален")</f>
        <v>0</v>
      </c>
    </row>
    <row r="21" customFormat="false" ht="15" hidden="false" customHeight="false" outlineLevel="0" collapsed="false">
      <c r="A21" s="19" t="s">
        <v>44</v>
      </c>
      <c r="B21" s="18" t="n">
        <f aca="false">COUNTIF('Тест-кейсы (Телеметрия)'!J2:J33,"Не начат")+COUNTIF('Тест-кейсы (Управление)'!J2:J18,"Не начат")+COUNTIF('Тест-кейсы (Сервисы)'!J2:J13,"Не начат")+COUNTIF('Тест-кейсы (Кросс-Приёмка)'!J2:J13,"Не начат")</f>
        <v>72</v>
      </c>
    </row>
    <row r="22" customFormat="false" ht="15" hidden="false" customHeight="false" outlineLevel="0" collapsed="false">
      <c r="A22" s="19" t="s">
        <v>76</v>
      </c>
      <c r="B22" s="18" t="n">
        <f aca="false">COUNTIF('Тест-кейсы (Телеметрия)'!J2:J33,"Заблокирован")+COUNTIF('Тест-кейсы (Управление)'!J2:J18,"Заблокирован")+COUNTIF('Тест-кейсы (Сервисы)'!J2:J13,"Заблокирован")+COUNTIF('Тест-кейсы (Кросс-Приёмка)'!J2:J13,"Заблокирован")</f>
        <v>1</v>
      </c>
    </row>
    <row r="23" customFormat="false" ht="15" hidden="false" customHeight="false" outlineLevel="0" collapsed="false">
      <c r="A23" s="19" t="s">
        <v>453</v>
      </c>
      <c r="B23" s="18" t="n">
        <f aca="false">COUNTIF('Тест-кейсы (Телеметрия)'!J2:J33,"N/A")+COUNTIF('Тест-кейсы (Управление)'!J2:J18,"N/A")+COUNTIF('Тест-кейсы (Сервисы)'!J2:J13,"N/A")+COUNTIF('Тест-кейсы (Кросс-Приёмка)'!J2:J13,"N/A")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2026-06-20T14:45:02Z</dcterms:created>
  <dc:creator>openpyxl</dc:creator>
  <dc:description/>
  <dc:language>en-US</dc:language>
  <cp:lastModifiedBy/>
  <dcterms:modified xsi:type="dcterms:W3CDTF">2026-06-20T14:45:02Z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